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600"/>
  </bookViews>
  <sheets>
    <sheet name="全ID验收记录" sheetId="1" r:id="rId1"/>
    <sheet name="验收汇总" sheetId="2" r:id="rId2"/>
    <sheet name="测试图片说明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<sst xmlns="http://schemas.openxmlformats.org/spreadsheetml/2006/main" count="754" uniqueCount="175">
  <si>
    <t>图片ID</t>
  </si>
  <si>
    <t>类别</t>
  </si>
  <si>
    <t>文件名</t>
  </si>
  <si>
    <t>分辨率</t>
  </si>
  <si>
    <t>像素数</t>
  </si>
  <si>
    <t>SHA-256</t>
  </si>
  <si>
    <t>预期结果或用途</t>
  </si>
  <si>
    <t>版本</t>
  </si>
  <si>
    <t>Git提交</t>
  </si>
  <si>
    <t>构建类型</t>
  </si>
  <si>
    <t>设备</t>
  </si>
  <si>
    <t>Android与OS</t>
  </si>
  <si>
    <t>执行引擎</t>
  </si>
  <si>
    <t>线程数</t>
  </si>
  <si>
    <t>电量%</t>
  </si>
  <si>
    <t>解码ms</t>
  </si>
  <si>
    <t>A像素访问ms</t>
  </si>
  <si>
    <t>A灰度转换ms</t>
  </si>
  <si>
    <t>A频次统计ms</t>
  </si>
  <si>
    <t>A归一化ms</t>
  </si>
  <si>
    <t>A其他开销ms</t>
  </si>
  <si>
    <t>A合并ms</t>
  </si>
  <si>
    <t>A核心总计ms</t>
  </si>
  <si>
    <t>B像素访问ms</t>
  </si>
  <si>
    <t>B融合统计ms</t>
  </si>
  <si>
    <t>B归一化ms</t>
  </si>
  <si>
    <t>B其他开销ms</t>
  </si>
  <si>
    <t>B合并ms</t>
  </si>
  <si>
    <t>B核心总计ms</t>
  </si>
  <si>
    <t>A最高频次</t>
  </si>
  <si>
    <t>B最高频次</t>
  </si>
  <si>
    <t>频次一致</t>
  </si>
  <si>
    <t>实际质量</t>
  </si>
  <si>
    <t>A低于300ms</t>
  </si>
  <si>
    <t>B低于300ms</t>
  </si>
  <si>
    <t>实际结果或备注</t>
  </si>
  <si>
    <t>S01</t>
  </si>
  <si>
    <t>合成正确性</t>
  </si>
  <si>
    <t>01_black_256.png</t>
  </si>
  <si>
    <t>256×256</t>
  </si>
  <si>
    <t>65536</t>
  </si>
  <si>
    <t>83efca097265b674fa6af57c9e6e9f667cb32a19f1da46f794995e88837713ec</t>
  </si>
  <si>
    <t>bin 0=65536；偏暗</t>
  </si>
  <si>
    <t>3.0</t>
  </si>
  <si>
    <t>2b56d94</t>
  </si>
  <si>
    <t>Debug</t>
  </si>
  <si>
    <t>Xiaomi 14</t>
  </si>
  <si>
    <t>Android 16 / HyperOS 3.0.303.0.WNCCNXM.C09</t>
  </si>
  <si>
    <t>Native 多线程 v3.0</t>
  </si>
  <si>
    <t>8</t>
  </si>
  <si>
    <t/>
  </si>
  <si>
    <t>S02</t>
  </si>
  <si>
    <t>02_white_256.png</t>
  </si>
  <si>
    <t>3408dfdcac0e2a40c24326dd59bfda33af912429b8a98482038dcdd6e036ed8a</t>
  </si>
  <si>
    <t>bin 255=65536；偏亮</t>
  </si>
  <si>
    <t>S03</t>
  </si>
  <si>
    <t>03_dark_gray80_256.png</t>
  </si>
  <si>
    <t>68bd27a8df7ff3fcf3d1934d218147cfba9d4d0297dcda621283d3bf1ec2c867</t>
  </si>
  <si>
    <t>bin 80=65536；偏暗</t>
  </si>
  <si>
    <t>S04</t>
  </si>
  <si>
    <t>04_bright_gray180_256.png</t>
  </si>
  <si>
    <t>a95b9aeda4b5e7b2901139c38f0a31d13ef45eec0a90c79697db59aea20371d4</t>
  </si>
  <si>
    <t>bin 180=65536；偏亮</t>
  </si>
  <si>
    <t>S05</t>
  </si>
  <si>
    <t>05_low_contrast_112_144.png</t>
  </si>
  <si>
    <t>3c2f0eab485039e38232e1743d6d43c9936ea48453dff7fb4d5794b0ce3bd0ca</t>
  </si>
  <si>
    <t>最高频次2048；平均127.609；标准差9.397；低对比度</t>
  </si>
  <si>
    <t>S06</t>
  </si>
  <si>
    <t>06_normal_contrast_64_192.png</t>
  </si>
  <si>
    <t>60dadf379ec7e67cc06e2ef7c8d271ec413371063fb407c0a395954a55fa84f2</t>
  </si>
  <si>
    <t>bin 64/192各32768；正常</t>
  </si>
  <si>
    <t>S07</t>
  </si>
  <si>
    <t>公式正确性</t>
  </si>
  <si>
    <t>07_rgb_primary_300x100.png</t>
  </si>
  <si>
    <t>300×100</t>
  </si>
  <si>
    <t>30000</t>
  </si>
  <si>
    <t>46ba4308a1c26e6da200b78513938c844da9c66a5a4eb736b51780b29276a726</t>
  </si>
  <si>
    <t>R/G/B落入bin 76/150/29且各10000；正常</t>
  </si>
  <si>
    <t>S08</t>
  </si>
  <si>
    <t>透明兼容性</t>
  </si>
  <si>
    <t>08_alpha_red_checker_256.png</t>
  </si>
  <si>
    <t>0eb44ca3e7e01965f1dbb24f41ec6054fbe70cf493c62afc869c9294dcc26e9a</t>
  </si>
  <si>
    <t>半透明与不透明红色；两方案一致</t>
  </si>
  <si>
    <t>L1</t>
  </si>
  <si>
    <t>正式性能</t>
  </si>
  <si>
    <t>09_performance_gradient_3072x4096.png</t>
  </si>
  <si>
    <t>3072×4096</t>
  </si>
  <si>
    <t>12582912</t>
  </si>
  <si>
    <t>783198e25198cb7fabb18db9f690224bb4402fcb27737f46c81c1b11a2f5daec</t>
  </si>
  <si>
    <t>最高频次75787；平均127.001；正常；两方案核心均低于300ms</t>
  </si>
  <si>
    <t>B01</t>
  </si>
  <si>
    <t>像素上限</t>
  </si>
  <si>
    <t>10_max_valid_4000x4000.png</t>
  </si>
  <si>
    <t>4000×4000</t>
  </si>
  <si>
    <t>16000000</t>
  </si>
  <si>
    <t>0f4292ef933523ac3e6d685e32f1b8916be3b0f256c2ee7c5914220b061b07fb</t>
  </si>
  <si>
    <t>恰好1600万像素；应允许；最高频次16000000；低对比度</t>
  </si>
  <si>
    <t>B02</t>
  </si>
  <si>
    <t>超限错误</t>
  </si>
  <si>
    <t>11_over_limit_4001x4000.png</t>
  </si>
  <si>
    <t>4001×4000</t>
  </si>
  <si>
    <t>16004000</t>
  </si>
  <si>
    <t>13d1b4960b81e32c9ac7b356d3fe86bae33906fbdc22e92f0fcfd10c565e6b26</t>
  </si>
  <si>
    <t>超过1600万像素；应在计算前拒绝</t>
  </si>
  <si>
    <t>不执行</t>
  </si>
  <si>
    <t>NA</t>
  </si>
  <si>
    <t>T1</t>
  </si>
  <si>
    <t>真实图片</t>
  </si>
  <si>
    <t>1.png.jpg</t>
  </si>
  <si>
    <t>1080×1440</t>
  </si>
  <si>
    <t>1555200</t>
  </si>
  <si>
    <t>d63bc747b6b1198413fe8fb861ab82cc5cf59498c420368d3b1b40296b7d5f87</t>
  </si>
  <si>
    <t>竖图高反差；桌面参考平均118.716；正常</t>
  </si>
  <si>
    <t>T2</t>
  </si>
  <si>
    <t>2.jpg</t>
  </si>
  <si>
    <t>1620×1080</t>
  </si>
  <si>
    <t>1749600</t>
  </si>
  <si>
    <t>2263029ea95d1f6457698a7c68afb86639e1df28592fcd7fad50bcaef36bd827</t>
  </si>
  <si>
    <t>横图噪点；桌面参考平均175.877；偏亮</t>
  </si>
  <si>
    <t>T3</t>
  </si>
  <si>
    <t>3.jpg</t>
  </si>
  <si>
    <t>1440×1080</t>
  </si>
  <si>
    <t>4bf9334a9c60a6c5428c03bc4227a52dda07a3c60148e26c21e70b8d960e814b</t>
  </si>
  <si>
    <t>户外阴影；桌面参考平均141.346；正常</t>
  </si>
  <si>
    <t>T4</t>
  </si>
  <si>
    <t>4.png</t>
  </si>
  <si>
    <t>496×658</t>
  </si>
  <si>
    <t>326368</t>
  </si>
  <si>
    <t>3273d69b69b1921d8bfc5c5cb3e07bf8d4e166393438b2639434627c656840e7</t>
  </si>
  <si>
    <t>日间彩色；桌面参考平均140.601；正常</t>
  </si>
  <si>
    <t>T5</t>
  </si>
  <si>
    <t>5.png</t>
  </si>
  <si>
    <t>492×660</t>
  </si>
  <si>
    <t>324720</t>
  </si>
  <si>
    <t>1573f8b465f4d105f460056cb5f9a70a174d06f67c635db8da5eea5487a509e6</t>
  </si>
  <si>
    <t>夜景；桌面参考平均66.320；偏暗</t>
  </si>
  <si>
    <t>W01</t>
  </si>
  <si>
    <t>格式兼容性</t>
  </si>
  <si>
    <t>google_webp_gallery_4.webp</t>
  </si>
  <si>
    <t>1024×772</t>
  </si>
  <si>
    <t>790528</t>
  </si>
  <si>
    <t>0858d0afcb2921ded36b05586204f2459d965feb7db54cb083e3cfa059589dd9</t>
  </si>
  <si>
    <t>Google WebP样例；桌面参考平均141.294；正常</t>
  </si>
  <si>
    <t>ImageHistogramAnalyzer 最终真机验收汇总</t>
  </si>
  <si>
    <t>项目</t>
  </si>
  <si>
    <t>当前结果</t>
  </si>
  <si>
    <t>测试图片 ID</t>
  </si>
  <si>
    <t>已填写结果行</t>
  </si>
  <si>
    <t>两方案频次一致</t>
  </si>
  <si>
    <t>A 方案达标行</t>
  </si>
  <si>
    <t>B 方案达标行</t>
  </si>
  <si>
    <t>L1 总结</t>
  </si>
  <si>
    <t>填写说明：每个 ID 只测一次；除 B02 外，同一行依次运行 A/B 两个方案。保留电量，不记录温度。</t>
  </si>
  <si>
    <t>必须补填</t>
  </si>
  <si>
    <t>电量</t>
  </si>
  <si>
    <t>解码</t>
  </si>
  <si>
    <t>A/B 分段</t>
  </si>
  <si>
    <t>A/B 最高频次</t>
  </si>
  <si>
    <t>实际结果/备注</t>
  </si>
  <si>
    <t>L1 核心</t>
  </si>
  <si>
    <t>A &lt; 300ms</t>
  </si>
  <si>
    <t>B &lt; 300ms</t>
  </si>
  <si>
    <t>频次预期 75,787</t>
  </si>
  <si>
    <t>质量预期正常</t>
  </si>
  <si>
    <t>保留截图</t>
  </si>
  <si>
    <t>应允许</t>
  </si>
  <si>
    <t>16,000,000 像素</t>
  </si>
  <si>
    <t>两方案运行</t>
  </si>
  <si>
    <t>质量低对比度</t>
  </si>
  <si>
    <t>应拒绝</t>
  </si>
  <si>
    <t>16,004,000 像素</t>
  </si>
  <si>
    <t>不运行算法</t>
  </si>
  <si>
    <t>耗时留空</t>
  </si>
  <si>
    <t>记录错误文案</t>
  </si>
  <si>
    <t>WebP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</si>
</sst>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  <numFmt numFmtId="177" formatCode="0&quot;%&quot;"/>
    <numFmt numFmtId="178" formatCode="0.000"/>
  </numFmts>
  <fonts count="28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8"/>
      <color rgb="FFFFFFFF"/>
      <name val="Aptos Display"/>
      <charset val="134"/>
    </font>
    <font>
      <b/>
      <sz val="11"/>
      <color rgb="FF17365D"/>
      <name val="Carlito"/>
      <charset val="134"/>
    </font>
    <font>
      <sz val="11"/>
      <color rgb="FF2D7D68"/>
      <name val="Carlito"/>
      <charset val="134"/>
    </font>
    <font>
      <b/>
      <sz val="11"/>
      <color rgb="FF9A6700"/>
      <name val="Carlito"/>
      <charset val="134"/>
    </font>
    <font>
      <b/>
      <sz val="10"/>
      <color rgb="FFFFFFFF"/>
      <name val="Aptos"/>
      <charset val="134"/>
    </font>
    <font>
      <sz val="10"/>
      <color rgb="FF18324B"/>
      <name val="Apto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3FC"/>
        <bgColor indexed="64"/>
      </patternFill>
    </fill>
    <fill>
      <patternFill patternType="solid">
        <fgColor rgb="FF3A7FCC"/>
        <bgColor indexed="64"/>
      </patternFill>
    </fill>
    <fill>
      <patternFill patternType="solid">
        <fgColor rgb="FFD9F2E8"/>
        <bgColor indexed="64"/>
      </patternFill>
    </fill>
    <fill>
      <patternFill patternType="solid">
        <fgColor rgb="FFFFF0C2"/>
        <bgColor indexed="64"/>
      </patternFill>
    </fill>
    <fill>
      <patternFill patternType="solid">
        <fgColor rgb="FFEDF5FF"/>
        <bgColor indexed="64"/>
      </patternFill>
    </fill>
    <fill>
      <patternFill patternType="solid">
        <fgColor rgb="FFFFF9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D8E5"/>
      </left>
      <right style="thin">
        <color rgb="FFCCD8E5"/>
      </right>
      <top style="thin">
        <color rgb="FFCCD8E5"/>
      </top>
      <bottom style="thin">
        <color rgb="FFCCD8E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8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0" fillId="0" borderId="0"/>
  </cellStyleXfs>
  <cellXfs count="24">
    <xf numFmtId="0" fontId="0" fillId="0" borderId="0" xfId="49"/>
    <xf numFmtId="0" fontId="1" fillId="2" borderId="1" xfId="49" applyNumberFormat="1" applyFont="1" applyFill="1" applyBorder="1" applyAlignment="1">
      <alignment vertical="center" wrapText="1"/>
    </xf>
    <xf numFmtId="0" fontId="0" fillId="3" borderId="1" xfId="49" applyNumberFormat="1" applyFont="1" applyFill="1" applyBorder="1" applyAlignment="1">
      <alignment vertical="center"/>
    </xf>
    <xf numFmtId="3" fontId="0" fillId="3" borderId="1" xfId="49" applyNumberFormat="1" applyFont="1" applyFill="1" applyBorder="1" applyAlignment="1">
      <alignment vertical="center"/>
    </xf>
    <xf numFmtId="0" fontId="0" fillId="3" borderId="1" xfId="49" applyNumberFormat="1" applyFont="1" applyFill="1" applyBorder="1" applyAlignment="1">
      <alignment vertical="center" wrapText="1"/>
    </xf>
    <xf numFmtId="0" fontId="2" fillId="2" borderId="0" xfId="49" applyNumberFormat="1" applyFont="1" applyFill="1" applyBorder="1" applyAlignment="1">
      <alignment horizontal="center" vertical="center"/>
    </xf>
    <xf numFmtId="0" fontId="1" fillId="4" borderId="1" xfId="49" applyNumberFormat="1" applyFont="1" applyFill="1" applyBorder="1" applyAlignment="1">
      <alignment vertical="center"/>
    </xf>
    <xf numFmtId="0" fontId="3" fillId="3" borderId="1" xfId="49" applyNumberFormat="1" applyFont="1" applyFill="1" applyBorder="1" applyAlignment="1">
      <alignment vertical="center"/>
    </xf>
    <xf numFmtId="0" fontId="4" fillId="5" borderId="1" xfId="49" applyNumberFormat="1" applyFont="1" applyFill="1" applyBorder="1" applyAlignment="1">
      <alignment vertical="center"/>
    </xf>
    <xf numFmtId="0" fontId="5" fillId="6" borderId="0" xfId="49" applyNumberFormat="1" applyFont="1" applyFill="1" applyBorder="1" applyAlignment="1">
      <alignment wrapText="1"/>
    </xf>
    <xf numFmtId="0" fontId="1" fillId="4" borderId="1" xfId="49" applyNumberFormat="1" applyFont="1" applyFill="1" applyBorder="1" applyAlignment="1">
      <alignment wrapText="1"/>
    </xf>
    <xf numFmtId="0" fontId="0" fillId="0" borderId="1" xfId="49" applyNumberFormat="1" applyFont="1" applyFill="1" applyBorder="1" applyAlignment="1">
      <alignment wrapText="1"/>
    </xf>
    <xf numFmtId="0" fontId="6" fillId="2" borderId="1" xfId="49" applyNumberFormat="1" applyFont="1" applyFill="1" applyBorder="1" applyAlignment="1">
      <alignment horizontal="center" vertical="center" wrapText="1"/>
    </xf>
    <xf numFmtId="0" fontId="7" fillId="3" borderId="1" xfId="49" applyNumberFormat="1" applyFont="1" applyFill="1" applyBorder="1" applyAlignment="1">
      <alignment vertical="center"/>
    </xf>
    <xf numFmtId="0" fontId="7" fillId="3" borderId="1" xfId="49" applyNumberFormat="1" applyFont="1" applyFill="1" applyBorder="1" applyAlignment="1">
      <alignment vertical="center" wrapText="1"/>
    </xf>
    <xf numFmtId="3" fontId="7" fillId="3" borderId="1" xfId="49" applyNumberFormat="1" applyFont="1" applyFill="1" applyBorder="1" applyAlignment="1">
      <alignment vertical="center"/>
    </xf>
    <xf numFmtId="176" fontId="7" fillId="3" borderId="1" xfId="49" applyNumberFormat="1" applyFont="1" applyFill="1" applyBorder="1" applyAlignment="1">
      <alignment vertical="center"/>
    </xf>
    <xf numFmtId="177" fontId="7" fillId="3" borderId="1" xfId="49" applyNumberFormat="1" applyFont="1" applyFill="1" applyBorder="1" applyAlignment="1">
      <alignment vertical="center"/>
    </xf>
    <xf numFmtId="178" fontId="7" fillId="6" borderId="1" xfId="49" applyNumberFormat="1" applyFont="1" applyFill="1" applyBorder="1" applyAlignment="1">
      <alignment vertical="center"/>
    </xf>
    <xf numFmtId="178" fontId="7" fillId="7" borderId="1" xfId="49" applyNumberFormat="1" applyFont="1" applyFill="1" applyBorder="1" applyAlignment="1">
      <alignment vertical="center"/>
    </xf>
    <xf numFmtId="178" fontId="7" fillId="5" borderId="1" xfId="49" applyNumberFormat="1" applyFont="1" applyFill="1" applyBorder="1" applyAlignment="1">
      <alignment vertical="center"/>
    </xf>
    <xf numFmtId="3" fontId="7" fillId="8" borderId="1" xfId="49" applyNumberFormat="1" applyFont="1" applyFill="1" applyBorder="1" applyAlignment="1">
      <alignment vertical="center"/>
    </xf>
    <xf numFmtId="0" fontId="7" fillId="8" borderId="1" xfId="49" applyNumberFormat="1" applyFont="1" applyFill="1" applyBorder="1" applyAlignment="1">
      <alignment vertical="center"/>
    </xf>
    <xf numFmtId="0" fontId="7" fillId="8" borderId="1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b val="1"/>
        <color rgb="FF2D7D68"/>
      </font>
      <fill>
        <patternFill patternType="solid">
          <bgColor rgb="FFD9F2E8"/>
        </patternFill>
      </fill>
    </dxf>
    <dxf>
      <font>
        <b val="1"/>
        <color rgb="FFA61B1B"/>
      </font>
      <fill>
        <patternFill patternType="solid">
          <bgColor rgb="FFFDE2E2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FinalDeviceAcceptance" displayName="FinalDeviceAcceptance" ref="A1:AJ18" totalsRowShown="0">
  <tableColumns count="36">
    <tableColumn id="1" name="图片ID"/>
    <tableColumn id="2" name="类别"/>
    <tableColumn id="3" name="文件名"/>
    <tableColumn id="4" name="分辨率"/>
    <tableColumn id="5" name="像素数"/>
    <tableColumn id="6" name="SHA-256"/>
    <tableColumn id="7" name="预期结果或用途"/>
    <tableColumn id="8" name="版本"/>
    <tableColumn id="9" name="Git提交"/>
    <tableColumn id="10" name="构建类型"/>
    <tableColumn id="11" name="设备"/>
    <tableColumn id="12" name="Android与OS"/>
    <tableColumn id="13" name="执行引擎"/>
    <tableColumn id="14" name="线程数"/>
    <tableColumn id="15" name="电量%"/>
    <tableColumn id="16" name="解码ms"/>
    <tableColumn id="17" name="A像素访问ms"/>
    <tableColumn id="18" name="A灰度转换ms"/>
    <tableColumn id="19" name="A频次统计ms"/>
    <tableColumn id="20" name="A归一化ms"/>
    <tableColumn id="21" name="A其他开销ms"/>
    <tableColumn id="22" name="A合并ms"/>
    <tableColumn id="23" name="A核心总计ms"/>
    <tableColumn id="24" name="B像素访问ms"/>
    <tableColumn id="25" name="B融合统计ms"/>
    <tableColumn id="26" name="B归一化ms"/>
    <tableColumn id="27" name="B其他开销ms"/>
    <tableColumn id="28" name="B合并ms"/>
    <tableColumn id="29" name="B核心总计ms"/>
    <tableColumn id="30" name="A最高频次"/>
    <tableColumn id="31" name="B最高频次"/>
    <tableColumn id="32" name="频次一致"/>
    <tableColumn id="33" name="实际质量"/>
    <tableColumn id="34" name="A低于300ms"/>
    <tableColumn id="35" name="B低于300ms"/>
    <tableColumn id="36" name="实际结果或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8"/>
  <sheetViews>
    <sheetView showGridLines="0" tabSelected="1" zoomScale="62" zoomScaleNormal="62" topLeftCell="I1" workbookViewId="0">
      <selection activeCell="X24" sqref="X24"/>
    </sheetView>
  </sheetViews>
  <sheetFormatPr defaultColWidth="9" defaultRowHeight="16.8"/>
  <cols>
    <col min="1" max="1" width="8" customWidth="1"/>
    <col min="2" max="2" width="12" customWidth="1"/>
    <col min="3" max="3" width="28" customWidth="1"/>
    <col min="4" max="5" width="13" customWidth="1"/>
    <col min="6" max="6" width="24" customWidth="1"/>
    <col min="7" max="7" width="38" customWidth="1"/>
    <col min="8" max="8" width="9" customWidth="1"/>
    <col min="9" max="10" width="11" customWidth="1"/>
    <col min="11" max="11" width="14" customWidth="1"/>
    <col min="12" max="12" width="34" customWidth="1"/>
    <col min="13" max="13" width="20" customWidth="1"/>
    <col min="14" max="15" width="9" customWidth="1"/>
    <col min="16" max="16" width="11" customWidth="1"/>
    <col min="17" max="35" width="13" customWidth="1"/>
    <col min="36" max="36" width="30" customWidth="1"/>
  </cols>
  <sheetData>
    <row r="1" ht="42" customHeight="1" spans="1:3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</row>
    <row r="2" ht="34" customHeight="1" spans="1:36">
      <c r="A2" s="13" t="s">
        <v>36</v>
      </c>
      <c r="B2" s="13" t="s">
        <v>37</v>
      </c>
      <c r="C2" s="14" t="s">
        <v>38</v>
      </c>
      <c r="D2" s="13" t="s">
        <v>39</v>
      </c>
      <c r="E2" s="15" t="s">
        <v>40</v>
      </c>
      <c r="F2" s="14" t="s">
        <v>41</v>
      </c>
      <c r="G2" s="14" t="s">
        <v>42</v>
      </c>
      <c r="H2" s="16" t="s">
        <v>43</v>
      </c>
      <c r="I2" s="13" t="s">
        <v>44</v>
      </c>
      <c r="J2" s="13" t="s">
        <v>45</v>
      </c>
      <c r="K2" s="13" t="s">
        <v>46</v>
      </c>
      <c r="L2" s="13" t="s">
        <v>47</v>
      </c>
      <c r="M2" s="13" t="s">
        <v>48</v>
      </c>
      <c r="N2" s="13" t="s">
        <v>49</v>
      </c>
      <c r="O2" s="17" t="s">
        <v>50</v>
      </c>
      <c r="P2" s="18" t="s">
        <v>50</v>
      </c>
      <c r="Q2" s="19" t="s">
        <v>50</v>
      </c>
      <c r="R2" s="19" t="s">
        <v>50</v>
      </c>
      <c r="S2" s="19" t="s">
        <v>50</v>
      </c>
      <c r="T2" s="19" t="s">
        <v>50</v>
      </c>
      <c r="U2" s="19" t="s">
        <v>50</v>
      </c>
      <c r="V2" s="19" t="s">
        <v>50</v>
      </c>
      <c r="W2" s="19" t="s">
        <v>50</v>
      </c>
      <c r="X2" s="20" t="s">
        <v>50</v>
      </c>
      <c r="Y2" s="20" t="s">
        <v>50</v>
      </c>
      <c r="Z2" s="20" t="s">
        <v>50</v>
      </c>
      <c r="AA2" s="20" t="s">
        <v>50</v>
      </c>
      <c r="AB2" s="20" t="s">
        <v>50</v>
      </c>
      <c r="AC2" s="20" t="s">
        <v>50</v>
      </c>
      <c r="AD2" s="21" t="s">
        <v>50</v>
      </c>
      <c r="AE2" s="21" t="s">
        <v>50</v>
      </c>
      <c r="AF2" s="22" t="str">
        <f t="shared" ref="AF2:AF18" si="0">IF(OR(AD2="",AE2=""),"待测",IF(AD2=AE2,"一致","不一致"))</f>
        <v>待测</v>
      </c>
      <c r="AG2" s="22" t="s">
        <v>50</v>
      </c>
      <c r="AH2" s="22" t="str">
        <f t="shared" ref="AH2:AH18" si="1">IF(W2="","待测",IF(W2&lt;300,"达标","未达标"))</f>
        <v>待测</v>
      </c>
      <c r="AI2" s="22" t="str">
        <f t="shared" ref="AI2:AI18" si="2">IF(AC2="","待测",IF(AC2&lt;300,"达标","未达标"))</f>
        <v>待测</v>
      </c>
      <c r="AJ2" s="23" t="s">
        <v>50</v>
      </c>
    </row>
    <row r="3" ht="34" customHeight="1" spans="1:36">
      <c r="A3" s="13" t="s">
        <v>51</v>
      </c>
      <c r="B3" s="13" t="s">
        <v>37</v>
      </c>
      <c r="C3" s="14" t="s">
        <v>52</v>
      </c>
      <c r="D3" s="13" t="s">
        <v>39</v>
      </c>
      <c r="E3" s="15" t="s">
        <v>40</v>
      </c>
      <c r="F3" s="14" t="s">
        <v>53</v>
      </c>
      <c r="G3" s="14" t="s">
        <v>54</v>
      </c>
      <c r="H3" s="16" t="s">
        <v>43</v>
      </c>
      <c r="I3" s="13" t="s">
        <v>44</v>
      </c>
      <c r="J3" s="13" t="s">
        <v>45</v>
      </c>
      <c r="K3" s="13" t="s">
        <v>46</v>
      </c>
      <c r="L3" s="13" t="s">
        <v>47</v>
      </c>
      <c r="M3" s="13" t="s">
        <v>48</v>
      </c>
      <c r="N3" s="13" t="s">
        <v>49</v>
      </c>
      <c r="O3" s="17" t="s">
        <v>50</v>
      </c>
      <c r="P3" s="18" t="s">
        <v>50</v>
      </c>
      <c r="Q3" s="19" t="s">
        <v>50</v>
      </c>
      <c r="R3" s="19" t="s">
        <v>50</v>
      </c>
      <c r="S3" s="19" t="s">
        <v>50</v>
      </c>
      <c r="T3" s="19" t="s">
        <v>50</v>
      </c>
      <c r="U3" s="19" t="s">
        <v>50</v>
      </c>
      <c r="V3" s="19" t="s">
        <v>50</v>
      </c>
      <c r="W3" s="19" t="s">
        <v>50</v>
      </c>
      <c r="X3" s="20" t="s">
        <v>50</v>
      </c>
      <c r="Y3" s="20" t="s">
        <v>50</v>
      </c>
      <c r="Z3" s="20" t="s">
        <v>50</v>
      </c>
      <c r="AA3" s="20" t="s">
        <v>50</v>
      </c>
      <c r="AB3" s="20" t="s">
        <v>50</v>
      </c>
      <c r="AC3" s="20" t="s">
        <v>50</v>
      </c>
      <c r="AD3" s="21" t="s">
        <v>50</v>
      </c>
      <c r="AE3" s="21" t="s">
        <v>50</v>
      </c>
      <c r="AF3" s="22" t="str">
        <f t="shared" si="0"/>
        <v>待测</v>
      </c>
      <c r="AG3" s="22" t="s">
        <v>50</v>
      </c>
      <c r="AH3" s="22" t="str">
        <f t="shared" si="1"/>
        <v>待测</v>
      </c>
      <c r="AI3" s="22" t="str">
        <f t="shared" si="2"/>
        <v>待测</v>
      </c>
      <c r="AJ3" s="23" t="s">
        <v>50</v>
      </c>
    </row>
    <row r="4" ht="34" customHeight="1" spans="1:36">
      <c r="A4" s="13" t="s">
        <v>55</v>
      </c>
      <c r="B4" s="13" t="s">
        <v>37</v>
      </c>
      <c r="C4" s="14" t="s">
        <v>56</v>
      </c>
      <c r="D4" s="13" t="s">
        <v>39</v>
      </c>
      <c r="E4" s="15" t="s">
        <v>40</v>
      </c>
      <c r="F4" s="14" t="s">
        <v>57</v>
      </c>
      <c r="G4" s="14" t="s">
        <v>58</v>
      </c>
      <c r="H4" s="16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  <c r="N4" s="13" t="s">
        <v>49</v>
      </c>
      <c r="O4" s="17" t="s">
        <v>50</v>
      </c>
      <c r="P4" s="18" t="s">
        <v>50</v>
      </c>
      <c r="Q4" s="19" t="s">
        <v>50</v>
      </c>
      <c r="R4" s="19" t="s">
        <v>50</v>
      </c>
      <c r="S4" s="19" t="s">
        <v>50</v>
      </c>
      <c r="T4" s="19" t="s">
        <v>50</v>
      </c>
      <c r="U4" s="19" t="s">
        <v>50</v>
      </c>
      <c r="V4" s="19" t="s">
        <v>50</v>
      </c>
      <c r="W4" s="19" t="s">
        <v>50</v>
      </c>
      <c r="X4" s="20" t="s">
        <v>50</v>
      </c>
      <c r="Y4" s="20" t="s">
        <v>50</v>
      </c>
      <c r="Z4" s="20" t="s">
        <v>50</v>
      </c>
      <c r="AA4" s="20" t="s">
        <v>50</v>
      </c>
      <c r="AB4" s="20" t="s">
        <v>50</v>
      </c>
      <c r="AC4" s="20" t="s">
        <v>50</v>
      </c>
      <c r="AD4" s="21" t="s">
        <v>50</v>
      </c>
      <c r="AE4" s="21" t="s">
        <v>50</v>
      </c>
      <c r="AF4" s="22" t="str">
        <f t="shared" si="0"/>
        <v>待测</v>
      </c>
      <c r="AG4" s="22" t="s">
        <v>50</v>
      </c>
      <c r="AH4" s="22" t="str">
        <f t="shared" si="1"/>
        <v>待测</v>
      </c>
      <c r="AI4" s="22" t="str">
        <f t="shared" si="2"/>
        <v>待测</v>
      </c>
      <c r="AJ4" s="23" t="s">
        <v>50</v>
      </c>
    </row>
    <row r="5" ht="34" customHeight="1" spans="1:36">
      <c r="A5" s="13" t="s">
        <v>59</v>
      </c>
      <c r="B5" s="13" t="s">
        <v>37</v>
      </c>
      <c r="C5" s="14" t="s">
        <v>60</v>
      </c>
      <c r="D5" s="13" t="s">
        <v>39</v>
      </c>
      <c r="E5" s="15" t="s">
        <v>40</v>
      </c>
      <c r="F5" s="14" t="s">
        <v>61</v>
      </c>
      <c r="G5" s="14" t="s">
        <v>62</v>
      </c>
      <c r="H5" s="16" t="s">
        <v>43</v>
      </c>
      <c r="I5" s="13" t="s">
        <v>44</v>
      </c>
      <c r="J5" s="13" t="s">
        <v>45</v>
      </c>
      <c r="K5" s="13" t="s">
        <v>46</v>
      </c>
      <c r="L5" s="13" t="s">
        <v>47</v>
      </c>
      <c r="M5" s="13" t="s">
        <v>48</v>
      </c>
      <c r="N5" s="13" t="s">
        <v>49</v>
      </c>
      <c r="O5" s="17" t="s">
        <v>50</v>
      </c>
      <c r="P5" s="18" t="s">
        <v>50</v>
      </c>
      <c r="Q5" s="19" t="s">
        <v>50</v>
      </c>
      <c r="R5" s="19" t="s">
        <v>50</v>
      </c>
      <c r="S5" s="19" t="s">
        <v>50</v>
      </c>
      <c r="T5" s="19" t="s">
        <v>50</v>
      </c>
      <c r="U5" s="19" t="s">
        <v>50</v>
      </c>
      <c r="V5" s="19" t="s">
        <v>50</v>
      </c>
      <c r="W5" s="19" t="s">
        <v>50</v>
      </c>
      <c r="X5" s="20" t="s">
        <v>50</v>
      </c>
      <c r="Y5" s="20" t="s">
        <v>50</v>
      </c>
      <c r="Z5" s="20" t="s">
        <v>50</v>
      </c>
      <c r="AA5" s="20" t="s">
        <v>50</v>
      </c>
      <c r="AB5" s="20" t="s">
        <v>50</v>
      </c>
      <c r="AC5" s="20" t="s">
        <v>50</v>
      </c>
      <c r="AD5" s="21" t="s">
        <v>50</v>
      </c>
      <c r="AE5" s="21" t="s">
        <v>50</v>
      </c>
      <c r="AF5" s="22" t="str">
        <f t="shared" si="0"/>
        <v>待测</v>
      </c>
      <c r="AG5" s="22" t="s">
        <v>50</v>
      </c>
      <c r="AH5" s="22" t="str">
        <f t="shared" si="1"/>
        <v>待测</v>
      </c>
      <c r="AI5" s="22" t="str">
        <f t="shared" si="2"/>
        <v>待测</v>
      </c>
      <c r="AJ5" s="23" t="s">
        <v>50</v>
      </c>
    </row>
    <row r="6" ht="34" customHeight="1" spans="1:36">
      <c r="A6" s="13" t="s">
        <v>63</v>
      </c>
      <c r="B6" s="13" t="s">
        <v>37</v>
      </c>
      <c r="C6" s="14" t="s">
        <v>64</v>
      </c>
      <c r="D6" s="13" t="s">
        <v>39</v>
      </c>
      <c r="E6" s="15" t="s">
        <v>40</v>
      </c>
      <c r="F6" s="14" t="s">
        <v>65</v>
      </c>
      <c r="G6" s="14" t="s">
        <v>66</v>
      </c>
      <c r="H6" s="16" t="s">
        <v>43</v>
      </c>
      <c r="I6" s="13" t="s">
        <v>44</v>
      </c>
      <c r="J6" s="13" t="s">
        <v>45</v>
      </c>
      <c r="K6" s="13" t="s">
        <v>46</v>
      </c>
      <c r="L6" s="13" t="s">
        <v>47</v>
      </c>
      <c r="M6" s="13" t="s">
        <v>48</v>
      </c>
      <c r="N6" s="13" t="s">
        <v>49</v>
      </c>
      <c r="O6" s="17" t="s">
        <v>50</v>
      </c>
      <c r="P6" s="18" t="s">
        <v>50</v>
      </c>
      <c r="Q6" s="19" t="s">
        <v>50</v>
      </c>
      <c r="R6" s="19" t="s">
        <v>50</v>
      </c>
      <c r="S6" s="19" t="s">
        <v>50</v>
      </c>
      <c r="T6" s="19" t="s">
        <v>50</v>
      </c>
      <c r="U6" s="19" t="s">
        <v>50</v>
      </c>
      <c r="V6" s="19" t="s">
        <v>50</v>
      </c>
      <c r="W6" s="19" t="s">
        <v>50</v>
      </c>
      <c r="X6" s="20" t="s">
        <v>50</v>
      </c>
      <c r="Y6" s="20" t="s">
        <v>50</v>
      </c>
      <c r="Z6" s="20" t="s">
        <v>50</v>
      </c>
      <c r="AA6" s="20" t="s">
        <v>50</v>
      </c>
      <c r="AB6" s="20" t="s">
        <v>50</v>
      </c>
      <c r="AC6" s="20" t="s">
        <v>50</v>
      </c>
      <c r="AD6" s="21" t="s">
        <v>50</v>
      </c>
      <c r="AE6" s="21" t="s">
        <v>50</v>
      </c>
      <c r="AF6" s="22" t="str">
        <f t="shared" si="0"/>
        <v>待测</v>
      </c>
      <c r="AG6" s="22" t="s">
        <v>50</v>
      </c>
      <c r="AH6" s="22" t="str">
        <f t="shared" si="1"/>
        <v>待测</v>
      </c>
      <c r="AI6" s="22" t="str">
        <f t="shared" si="2"/>
        <v>待测</v>
      </c>
      <c r="AJ6" s="23" t="s">
        <v>50</v>
      </c>
    </row>
    <row r="7" ht="34" customHeight="1" spans="1:36">
      <c r="A7" s="13" t="s">
        <v>67</v>
      </c>
      <c r="B7" s="13" t="s">
        <v>37</v>
      </c>
      <c r="C7" s="14" t="s">
        <v>68</v>
      </c>
      <c r="D7" s="13" t="s">
        <v>39</v>
      </c>
      <c r="E7" s="15" t="s">
        <v>40</v>
      </c>
      <c r="F7" s="14" t="s">
        <v>69</v>
      </c>
      <c r="G7" s="14" t="s">
        <v>70</v>
      </c>
      <c r="H7" s="16" t="s">
        <v>43</v>
      </c>
      <c r="I7" s="13" t="s">
        <v>44</v>
      </c>
      <c r="J7" s="13" t="s">
        <v>45</v>
      </c>
      <c r="K7" s="13" t="s">
        <v>46</v>
      </c>
      <c r="L7" s="13" t="s">
        <v>47</v>
      </c>
      <c r="M7" s="13" t="s">
        <v>48</v>
      </c>
      <c r="N7" s="13" t="s">
        <v>49</v>
      </c>
      <c r="O7" s="17" t="s">
        <v>50</v>
      </c>
      <c r="P7" s="18" t="s">
        <v>50</v>
      </c>
      <c r="Q7" s="19" t="s">
        <v>50</v>
      </c>
      <c r="R7" s="19" t="s">
        <v>50</v>
      </c>
      <c r="S7" s="19" t="s">
        <v>50</v>
      </c>
      <c r="T7" s="19" t="s">
        <v>50</v>
      </c>
      <c r="U7" s="19" t="s">
        <v>50</v>
      </c>
      <c r="V7" s="19" t="s">
        <v>50</v>
      </c>
      <c r="W7" s="19" t="s">
        <v>50</v>
      </c>
      <c r="X7" s="20" t="s">
        <v>50</v>
      </c>
      <c r="Y7" s="20" t="s">
        <v>50</v>
      </c>
      <c r="Z7" s="20" t="s">
        <v>50</v>
      </c>
      <c r="AA7" s="20" t="s">
        <v>50</v>
      </c>
      <c r="AB7" s="20" t="s">
        <v>50</v>
      </c>
      <c r="AC7" s="20" t="s">
        <v>50</v>
      </c>
      <c r="AD7" s="21" t="s">
        <v>50</v>
      </c>
      <c r="AE7" s="21" t="s">
        <v>50</v>
      </c>
      <c r="AF7" s="22" t="str">
        <f t="shared" si="0"/>
        <v>待测</v>
      </c>
      <c r="AG7" s="22" t="s">
        <v>50</v>
      </c>
      <c r="AH7" s="22" t="str">
        <f t="shared" si="1"/>
        <v>待测</v>
      </c>
      <c r="AI7" s="22" t="str">
        <f t="shared" si="2"/>
        <v>待测</v>
      </c>
      <c r="AJ7" s="23" t="s">
        <v>50</v>
      </c>
    </row>
    <row r="8" ht="34" customHeight="1" spans="1:36">
      <c r="A8" s="13" t="s">
        <v>71</v>
      </c>
      <c r="B8" s="13" t="s">
        <v>72</v>
      </c>
      <c r="C8" s="14" t="s">
        <v>73</v>
      </c>
      <c r="D8" s="13" t="s">
        <v>74</v>
      </c>
      <c r="E8" s="15" t="s">
        <v>75</v>
      </c>
      <c r="F8" s="14" t="s">
        <v>76</v>
      </c>
      <c r="G8" s="14" t="s">
        <v>77</v>
      </c>
      <c r="H8" s="16" t="s">
        <v>43</v>
      </c>
      <c r="I8" s="13" t="s">
        <v>44</v>
      </c>
      <c r="J8" s="13" t="s">
        <v>45</v>
      </c>
      <c r="K8" s="13" t="s">
        <v>46</v>
      </c>
      <c r="L8" s="13" t="s">
        <v>47</v>
      </c>
      <c r="M8" s="13" t="s">
        <v>48</v>
      </c>
      <c r="N8" s="13" t="s">
        <v>49</v>
      </c>
      <c r="O8" s="17" t="s">
        <v>50</v>
      </c>
      <c r="P8" s="18" t="s">
        <v>50</v>
      </c>
      <c r="Q8" s="19" t="s">
        <v>50</v>
      </c>
      <c r="R8" s="19" t="s">
        <v>50</v>
      </c>
      <c r="S8" s="19" t="s">
        <v>50</v>
      </c>
      <c r="T8" s="19" t="s">
        <v>50</v>
      </c>
      <c r="U8" s="19" t="s">
        <v>50</v>
      </c>
      <c r="V8" s="19" t="s">
        <v>50</v>
      </c>
      <c r="W8" s="19" t="s">
        <v>50</v>
      </c>
      <c r="X8" s="20" t="s">
        <v>50</v>
      </c>
      <c r="Y8" s="20" t="s">
        <v>50</v>
      </c>
      <c r="Z8" s="20" t="s">
        <v>50</v>
      </c>
      <c r="AA8" s="20" t="s">
        <v>50</v>
      </c>
      <c r="AB8" s="20" t="s">
        <v>50</v>
      </c>
      <c r="AC8" s="20" t="s">
        <v>50</v>
      </c>
      <c r="AD8" s="21" t="s">
        <v>50</v>
      </c>
      <c r="AE8" s="21" t="s">
        <v>50</v>
      </c>
      <c r="AF8" s="22" t="str">
        <f t="shared" si="0"/>
        <v>待测</v>
      </c>
      <c r="AG8" s="22" t="s">
        <v>50</v>
      </c>
      <c r="AH8" s="22" t="str">
        <f t="shared" si="1"/>
        <v>待测</v>
      </c>
      <c r="AI8" s="22" t="str">
        <f t="shared" si="2"/>
        <v>待测</v>
      </c>
      <c r="AJ8" s="23" t="s">
        <v>50</v>
      </c>
    </row>
    <row r="9" ht="34" customHeight="1" spans="1:36">
      <c r="A9" s="13" t="s">
        <v>78</v>
      </c>
      <c r="B9" s="13" t="s">
        <v>79</v>
      </c>
      <c r="C9" s="14" t="s">
        <v>80</v>
      </c>
      <c r="D9" s="13" t="s">
        <v>39</v>
      </c>
      <c r="E9" s="15" t="s">
        <v>40</v>
      </c>
      <c r="F9" s="14" t="s">
        <v>81</v>
      </c>
      <c r="G9" s="14" t="s">
        <v>82</v>
      </c>
      <c r="H9" s="16" t="s">
        <v>43</v>
      </c>
      <c r="I9" s="13" t="s">
        <v>44</v>
      </c>
      <c r="J9" s="13" t="s">
        <v>45</v>
      </c>
      <c r="K9" s="13" t="s">
        <v>46</v>
      </c>
      <c r="L9" s="13" t="s">
        <v>47</v>
      </c>
      <c r="M9" s="13" t="s">
        <v>48</v>
      </c>
      <c r="N9" s="13" t="s">
        <v>49</v>
      </c>
      <c r="O9" s="17" t="s">
        <v>50</v>
      </c>
      <c r="P9" s="18" t="s">
        <v>50</v>
      </c>
      <c r="Q9" s="19" t="s">
        <v>50</v>
      </c>
      <c r="R9" s="19" t="s">
        <v>50</v>
      </c>
      <c r="S9" s="19" t="s">
        <v>50</v>
      </c>
      <c r="T9" s="19" t="s">
        <v>50</v>
      </c>
      <c r="U9" s="19" t="s">
        <v>50</v>
      </c>
      <c r="V9" s="19" t="s">
        <v>50</v>
      </c>
      <c r="W9" s="19" t="s">
        <v>50</v>
      </c>
      <c r="X9" s="20" t="s">
        <v>50</v>
      </c>
      <c r="Y9" s="20" t="s">
        <v>50</v>
      </c>
      <c r="Z9" s="20" t="s">
        <v>50</v>
      </c>
      <c r="AA9" s="20" t="s">
        <v>50</v>
      </c>
      <c r="AB9" s="20" t="s">
        <v>50</v>
      </c>
      <c r="AC9" s="20" t="s">
        <v>50</v>
      </c>
      <c r="AD9" s="21" t="s">
        <v>50</v>
      </c>
      <c r="AE9" s="21" t="s">
        <v>50</v>
      </c>
      <c r="AF9" s="22" t="str">
        <f t="shared" si="0"/>
        <v>待测</v>
      </c>
      <c r="AG9" s="22" t="s">
        <v>50</v>
      </c>
      <c r="AH9" s="22" t="str">
        <f t="shared" si="1"/>
        <v>待测</v>
      </c>
      <c r="AI9" s="22" t="str">
        <f t="shared" si="2"/>
        <v>待测</v>
      </c>
      <c r="AJ9" s="23" t="s">
        <v>50</v>
      </c>
    </row>
    <row r="10" ht="34" customHeight="1" spans="1:36">
      <c r="A10" s="13" t="s">
        <v>83</v>
      </c>
      <c r="B10" s="13" t="s">
        <v>84</v>
      </c>
      <c r="C10" s="14" t="s">
        <v>85</v>
      </c>
      <c r="D10" s="13" t="s">
        <v>86</v>
      </c>
      <c r="E10" s="15" t="s">
        <v>87</v>
      </c>
      <c r="F10" s="14" t="s">
        <v>88</v>
      </c>
      <c r="G10" s="14" t="s">
        <v>89</v>
      </c>
      <c r="H10" s="16" t="s">
        <v>43</v>
      </c>
      <c r="I10" s="13" t="s">
        <v>44</v>
      </c>
      <c r="J10" s="13" t="s">
        <v>45</v>
      </c>
      <c r="K10" s="13" t="s">
        <v>46</v>
      </c>
      <c r="L10" s="13" t="s">
        <v>47</v>
      </c>
      <c r="M10" s="13" t="s">
        <v>48</v>
      </c>
      <c r="N10" s="13" t="s">
        <v>49</v>
      </c>
      <c r="O10" s="17" t="s">
        <v>50</v>
      </c>
      <c r="P10" s="18" t="s">
        <v>50</v>
      </c>
      <c r="Q10" s="19" t="s">
        <v>50</v>
      </c>
      <c r="R10" s="19" t="s">
        <v>50</v>
      </c>
      <c r="S10" s="19" t="s">
        <v>50</v>
      </c>
      <c r="T10" s="19" t="s">
        <v>50</v>
      </c>
      <c r="U10" s="19" t="s">
        <v>50</v>
      </c>
      <c r="V10" s="19" t="s">
        <v>50</v>
      </c>
      <c r="W10" s="19" t="s">
        <v>50</v>
      </c>
      <c r="X10" s="20" t="s">
        <v>50</v>
      </c>
      <c r="Y10" s="20" t="s">
        <v>50</v>
      </c>
      <c r="Z10" s="20" t="s">
        <v>50</v>
      </c>
      <c r="AA10" s="20" t="s">
        <v>50</v>
      </c>
      <c r="AB10" s="20" t="s">
        <v>50</v>
      </c>
      <c r="AC10" s="20" t="s">
        <v>50</v>
      </c>
      <c r="AD10" s="21" t="s">
        <v>50</v>
      </c>
      <c r="AE10" s="21" t="s">
        <v>50</v>
      </c>
      <c r="AF10" s="22" t="str">
        <f t="shared" si="0"/>
        <v>待测</v>
      </c>
      <c r="AG10" s="22" t="s">
        <v>50</v>
      </c>
      <c r="AH10" s="22" t="str">
        <f t="shared" si="1"/>
        <v>待测</v>
      </c>
      <c r="AI10" s="22" t="str">
        <f t="shared" si="2"/>
        <v>待测</v>
      </c>
      <c r="AJ10" s="23" t="s">
        <v>50</v>
      </c>
    </row>
    <row r="11" ht="34" customHeight="1" spans="1:36">
      <c r="A11" s="13" t="s">
        <v>90</v>
      </c>
      <c r="B11" s="13" t="s">
        <v>91</v>
      </c>
      <c r="C11" s="14" t="s">
        <v>92</v>
      </c>
      <c r="D11" s="13" t="s">
        <v>93</v>
      </c>
      <c r="E11" s="15" t="s">
        <v>94</v>
      </c>
      <c r="F11" s="14" t="s">
        <v>95</v>
      </c>
      <c r="G11" s="14" t="s">
        <v>96</v>
      </c>
      <c r="H11" s="16" t="s">
        <v>43</v>
      </c>
      <c r="I11" s="13" t="s">
        <v>44</v>
      </c>
      <c r="J11" s="13" t="s">
        <v>45</v>
      </c>
      <c r="K11" s="13" t="s">
        <v>46</v>
      </c>
      <c r="L11" s="13" t="s">
        <v>47</v>
      </c>
      <c r="M11" s="13" t="s">
        <v>48</v>
      </c>
      <c r="N11" s="13" t="s">
        <v>49</v>
      </c>
      <c r="O11" s="17" t="s">
        <v>50</v>
      </c>
      <c r="P11" s="18" t="s">
        <v>50</v>
      </c>
      <c r="Q11" s="19" t="s">
        <v>50</v>
      </c>
      <c r="R11" s="19" t="s">
        <v>50</v>
      </c>
      <c r="S11" s="19" t="s">
        <v>50</v>
      </c>
      <c r="T11" s="19" t="s">
        <v>50</v>
      </c>
      <c r="U11" s="19" t="s">
        <v>50</v>
      </c>
      <c r="V11" s="19" t="s">
        <v>50</v>
      </c>
      <c r="W11" s="19" t="s">
        <v>50</v>
      </c>
      <c r="X11" s="20" t="s">
        <v>50</v>
      </c>
      <c r="Y11" s="20" t="s">
        <v>50</v>
      </c>
      <c r="Z11" s="20" t="s">
        <v>50</v>
      </c>
      <c r="AA11" s="20" t="s">
        <v>50</v>
      </c>
      <c r="AB11" s="20" t="s">
        <v>50</v>
      </c>
      <c r="AC11" s="20" t="s">
        <v>50</v>
      </c>
      <c r="AD11" s="21" t="s">
        <v>50</v>
      </c>
      <c r="AE11" s="21" t="s">
        <v>50</v>
      </c>
      <c r="AF11" s="22" t="str">
        <f t="shared" si="0"/>
        <v>待测</v>
      </c>
      <c r="AG11" s="22" t="s">
        <v>50</v>
      </c>
      <c r="AH11" s="22" t="str">
        <f t="shared" si="1"/>
        <v>待测</v>
      </c>
      <c r="AI11" s="22" t="str">
        <f t="shared" si="2"/>
        <v>待测</v>
      </c>
      <c r="AJ11" s="23" t="s">
        <v>50</v>
      </c>
    </row>
    <row r="12" ht="34" customHeight="1" spans="1:36">
      <c r="A12" s="13" t="s">
        <v>97</v>
      </c>
      <c r="B12" s="13" t="s">
        <v>98</v>
      </c>
      <c r="C12" s="14" t="s">
        <v>99</v>
      </c>
      <c r="D12" s="13" t="s">
        <v>100</v>
      </c>
      <c r="E12" s="15" t="s">
        <v>101</v>
      </c>
      <c r="F12" s="14" t="s">
        <v>102</v>
      </c>
      <c r="G12" s="14" t="s">
        <v>103</v>
      </c>
      <c r="H12" s="16" t="s">
        <v>43</v>
      </c>
      <c r="I12" s="13" t="s">
        <v>44</v>
      </c>
      <c r="J12" s="13" t="s">
        <v>45</v>
      </c>
      <c r="K12" s="13" t="s">
        <v>46</v>
      </c>
      <c r="L12" s="13" t="s">
        <v>47</v>
      </c>
      <c r="M12" s="13" t="s">
        <v>104</v>
      </c>
      <c r="N12" s="13" t="s">
        <v>105</v>
      </c>
      <c r="O12" s="17" t="s">
        <v>50</v>
      </c>
      <c r="P12" s="18" t="s">
        <v>50</v>
      </c>
      <c r="Q12" s="19" t="s">
        <v>50</v>
      </c>
      <c r="R12" s="19" t="s">
        <v>50</v>
      </c>
      <c r="S12" s="19" t="s">
        <v>50</v>
      </c>
      <c r="T12" s="19" t="s">
        <v>50</v>
      </c>
      <c r="U12" s="19" t="s">
        <v>50</v>
      </c>
      <c r="V12" s="19" t="s">
        <v>50</v>
      </c>
      <c r="W12" s="19" t="s">
        <v>50</v>
      </c>
      <c r="X12" s="20" t="s">
        <v>50</v>
      </c>
      <c r="Y12" s="20" t="s">
        <v>50</v>
      </c>
      <c r="Z12" s="20" t="s">
        <v>50</v>
      </c>
      <c r="AA12" s="20" t="s">
        <v>50</v>
      </c>
      <c r="AB12" s="20" t="s">
        <v>50</v>
      </c>
      <c r="AC12" s="20" t="s">
        <v>50</v>
      </c>
      <c r="AD12" s="21" t="s">
        <v>50</v>
      </c>
      <c r="AE12" s="21" t="s">
        <v>50</v>
      </c>
      <c r="AF12" s="22" t="str">
        <f t="shared" si="0"/>
        <v>待测</v>
      </c>
      <c r="AG12" s="22" t="s">
        <v>50</v>
      </c>
      <c r="AH12" s="22" t="str">
        <f t="shared" si="1"/>
        <v>待测</v>
      </c>
      <c r="AI12" s="22" t="str">
        <f t="shared" si="2"/>
        <v>待测</v>
      </c>
      <c r="AJ12" s="23" t="s">
        <v>50</v>
      </c>
    </row>
    <row r="13" ht="34" customHeight="1" spans="1:36">
      <c r="A13" s="13" t="s">
        <v>106</v>
      </c>
      <c r="B13" s="13" t="s">
        <v>107</v>
      </c>
      <c r="C13" s="14" t="s">
        <v>108</v>
      </c>
      <c r="D13" s="13" t="s">
        <v>109</v>
      </c>
      <c r="E13" s="15" t="s">
        <v>110</v>
      </c>
      <c r="F13" s="14" t="s">
        <v>111</v>
      </c>
      <c r="G13" s="14" t="s">
        <v>112</v>
      </c>
      <c r="H13" s="16" t="s">
        <v>43</v>
      </c>
      <c r="I13" s="13" t="s">
        <v>44</v>
      </c>
      <c r="J13" s="13" t="s">
        <v>45</v>
      </c>
      <c r="K13" s="13" t="s">
        <v>46</v>
      </c>
      <c r="L13" s="13" t="s">
        <v>47</v>
      </c>
      <c r="M13" s="13" t="s">
        <v>48</v>
      </c>
      <c r="N13" s="13" t="s">
        <v>49</v>
      </c>
      <c r="O13" s="17" t="s">
        <v>50</v>
      </c>
      <c r="P13" s="18" t="s">
        <v>50</v>
      </c>
      <c r="Q13" s="19" t="s">
        <v>50</v>
      </c>
      <c r="R13" s="19" t="s">
        <v>50</v>
      </c>
      <c r="S13" s="19" t="s">
        <v>50</v>
      </c>
      <c r="T13" s="19" t="s">
        <v>50</v>
      </c>
      <c r="U13" s="19" t="s">
        <v>50</v>
      </c>
      <c r="V13" s="19" t="s">
        <v>50</v>
      </c>
      <c r="W13" s="19" t="s">
        <v>50</v>
      </c>
      <c r="X13" s="20" t="s">
        <v>50</v>
      </c>
      <c r="Y13" s="20" t="s">
        <v>50</v>
      </c>
      <c r="Z13" s="20" t="s">
        <v>50</v>
      </c>
      <c r="AA13" s="20" t="s">
        <v>50</v>
      </c>
      <c r="AB13" s="20" t="s">
        <v>50</v>
      </c>
      <c r="AC13" s="20" t="s">
        <v>50</v>
      </c>
      <c r="AD13" s="21" t="s">
        <v>50</v>
      </c>
      <c r="AE13" s="21" t="s">
        <v>50</v>
      </c>
      <c r="AF13" s="22" t="str">
        <f t="shared" si="0"/>
        <v>待测</v>
      </c>
      <c r="AG13" s="22" t="s">
        <v>50</v>
      </c>
      <c r="AH13" s="22" t="str">
        <f t="shared" si="1"/>
        <v>待测</v>
      </c>
      <c r="AI13" s="22" t="str">
        <f t="shared" si="2"/>
        <v>待测</v>
      </c>
      <c r="AJ13" s="23" t="s">
        <v>50</v>
      </c>
    </row>
    <row r="14" ht="34" customHeight="1" spans="1:36">
      <c r="A14" s="13" t="s">
        <v>113</v>
      </c>
      <c r="B14" s="13" t="s">
        <v>107</v>
      </c>
      <c r="C14" s="14" t="s">
        <v>114</v>
      </c>
      <c r="D14" s="13" t="s">
        <v>115</v>
      </c>
      <c r="E14" s="15" t="s">
        <v>116</v>
      </c>
      <c r="F14" s="14" t="s">
        <v>117</v>
      </c>
      <c r="G14" s="14" t="s">
        <v>118</v>
      </c>
      <c r="H14" s="16" t="s">
        <v>43</v>
      </c>
      <c r="I14" s="13" t="s">
        <v>44</v>
      </c>
      <c r="J14" s="13" t="s">
        <v>45</v>
      </c>
      <c r="K14" s="13" t="s">
        <v>46</v>
      </c>
      <c r="L14" s="13" t="s">
        <v>47</v>
      </c>
      <c r="M14" s="13" t="s">
        <v>48</v>
      </c>
      <c r="N14" s="13" t="s">
        <v>49</v>
      </c>
      <c r="O14" s="17" t="s">
        <v>50</v>
      </c>
      <c r="P14" s="18" t="s">
        <v>50</v>
      </c>
      <c r="Q14" s="19" t="s">
        <v>50</v>
      </c>
      <c r="R14" s="19" t="s">
        <v>50</v>
      </c>
      <c r="S14" s="19" t="s">
        <v>50</v>
      </c>
      <c r="T14" s="19" t="s">
        <v>50</v>
      </c>
      <c r="U14" s="19" t="s">
        <v>50</v>
      </c>
      <c r="V14" s="19" t="s">
        <v>50</v>
      </c>
      <c r="W14" s="19" t="s">
        <v>50</v>
      </c>
      <c r="X14" s="20" t="s">
        <v>50</v>
      </c>
      <c r="Y14" s="20" t="s">
        <v>50</v>
      </c>
      <c r="Z14" s="20" t="s">
        <v>50</v>
      </c>
      <c r="AA14" s="20" t="s">
        <v>50</v>
      </c>
      <c r="AB14" s="20" t="s">
        <v>50</v>
      </c>
      <c r="AC14" s="20" t="s">
        <v>50</v>
      </c>
      <c r="AD14" s="21" t="s">
        <v>50</v>
      </c>
      <c r="AE14" s="21" t="s">
        <v>50</v>
      </c>
      <c r="AF14" s="22" t="str">
        <f t="shared" si="0"/>
        <v>待测</v>
      </c>
      <c r="AG14" s="22" t="s">
        <v>50</v>
      </c>
      <c r="AH14" s="22" t="str">
        <f t="shared" si="1"/>
        <v>待测</v>
      </c>
      <c r="AI14" s="22" t="str">
        <f t="shared" si="2"/>
        <v>待测</v>
      </c>
      <c r="AJ14" s="23" t="s">
        <v>50</v>
      </c>
    </row>
    <row r="15" ht="34" customHeight="1" spans="1:36">
      <c r="A15" s="13" t="s">
        <v>119</v>
      </c>
      <c r="B15" s="13" t="s">
        <v>107</v>
      </c>
      <c r="C15" s="14" t="s">
        <v>120</v>
      </c>
      <c r="D15" s="13" t="s">
        <v>121</v>
      </c>
      <c r="E15" s="15" t="s">
        <v>110</v>
      </c>
      <c r="F15" s="14" t="s">
        <v>122</v>
      </c>
      <c r="G15" s="14" t="s">
        <v>123</v>
      </c>
      <c r="H15" s="16" t="s">
        <v>43</v>
      </c>
      <c r="I15" s="13" t="s">
        <v>44</v>
      </c>
      <c r="J15" s="13" t="s">
        <v>45</v>
      </c>
      <c r="K15" s="13" t="s">
        <v>46</v>
      </c>
      <c r="L15" s="13" t="s">
        <v>47</v>
      </c>
      <c r="M15" s="13" t="s">
        <v>48</v>
      </c>
      <c r="N15" s="13" t="s">
        <v>49</v>
      </c>
      <c r="O15" s="17" t="s">
        <v>50</v>
      </c>
      <c r="P15" s="18" t="s">
        <v>50</v>
      </c>
      <c r="Q15" s="19" t="s">
        <v>50</v>
      </c>
      <c r="R15" s="19" t="s">
        <v>50</v>
      </c>
      <c r="S15" s="19" t="s">
        <v>50</v>
      </c>
      <c r="T15" s="19" t="s">
        <v>50</v>
      </c>
      <c r="U15" s="19" t="s">
        <v>50</v>
      </c>
      <c r="V15" s="19" t="s">
        <v>50</v>
      </c>
      <c r="W15" s="19" t="s">
        <v>50</v>
      </c>
      <c r="X15" s="20" t="s">
        <v>50</v>
      </c>
      <c r="Y15" s="20" t="s">
        <v>50</v>
      </c>
      <c r="Z15" s="20" t="s">
        <v>50</v>
      </c>
      <c r="AA15" s="20" t="s">
        <v>50</v>
      </c>
      <c r="AB15" s="20" t="s">
        <v>50</v>
      </c>
      <c r="AC15" s="20" t="s">
        <v>50</v>
      </c>
      <c r="AD15" s="21" t="s">
        <v>50</v>
      </c>
      <c r="AE15" s="21" t="s">
        <v>50</v>
      </c>
      <c r="AF15" s="22" t="str">
        <f t="shared" si="0"/>
        <v>待测</v>
      </c>
      <c r="AG15" s="22" t="s">
        <v>50</v>
      </c>
      <c r="AH15" s="22" t="str">
        <f t="shared" si="1"/>
        <v>待测</v>
      </c>
      <c r="AI15" s="22" t="str">
        <f t="shared" si="2"/>
        <v>待测</v>
      </c>
      <c r="AJ15" s="23" t="s">
        <v>50</v>
      </c>
    </row>
    <row r="16" ht="34" customHeight="1" spans="1:36">
      <c r="A16" s="13" t="s">
        <v>124</v>
      </c>
      <c r="B16" s="13" t="s">
        <v>107</v>
      </c>
      <c r="C16" s="14" t="s">
        <v>125</v>
      </c>
      <c r="D16" s="13" t="s">
        <v>126</v>
      </c>
      <c r="E16" s="15" t="s">
        <v>127</v>
      </c>
      <c r="F16" s="14" t="s">
        <v>128</v>
      </c>
      <c r="G16" s="14" t="s">
        <v>129</v>
      </c>
      <c r="H16" s="16" t="s">
        <v>43</v>
      </c>
      <c r="I16" s="13" t="s">
        <v>44</v>
      </c>
      <c r="J16" s="13" t="s">
        <v>45</v>
      </c>
      <c r="K16" s="13" t="s">
        <v>46</v>
      </c>
      <c r="L16" s="13" t="s">
        <v>47</v>
      </c>
      <c r="M16" s="13" t="s">
        <v>48</v>
      </c>
      <c r="N16" s="13" t="s">
        <v>49</v>
      </c>
      <c r="O16" s="17" t="s">
        <v>50</v>
      </c>
      <c r="P16" s="18" t="s">
        <v>50</v>
      </c>
      <c r="Q16" s="19" t="s">
        <v>50</v>
      </c>
      <c r="R16" s="19" t="s">
        <v>50</v>
      </c>
      <c r="S16" s="19" t="s">
        <v>50</v>
      </c>
      <c r="T16" s="19" t="s">
        <v>50</v>
      </c>
      <c r="U16" s="19" t="s">
        <v>50</v>
      </c>
      <c r="V16" s="19" t="s">
        <v>50</v>
      </c>
      <c r="W16" s="19" t="s">
        <v>50</v>
      </c>
      <c r="X16" s="20" t="s">
        <v>50</v>
      </c>
      <c r="Y16" s="20" t="s">
        <v>50</v>
      </c>
      <c r="Z16" s="20" t="s">
        <v>50</v>
      </c>
      <c r="AA16" s="20" t="s">
        <v>50</v>
      </c>
      <c r="AB16" s="20" t="s">
        <v>50</v>
      </c>
      <c r="AC16" s="20" t="s">
        <v>50</v>
      </c>
      <c r="AD16" s="21" t="s">
        <v>50</v>
      </c>
      <c r="AE16" s="21" t="s">
        <v>50</v>
      </c>
      <c r="AF16" s="22" t="str">
        <f t="shared" si="0"/>
        <v>待测</v>
      </c>
      <c r="AG16" s="22" t="s">
        <v>50</v>
      </c>
      <c r="AH16" s="22" t="str">
        <f t="shared" si="1"/>
        <v>待测</v>
      </c>
      <c r="AI16" s="22" t="str">
        <f t="shared" si="2"/>
        <v>待测</v>
      </c>
      <c r="AJ16" s="23" t="s">
        <v>50</v>
      </c>
    </row>
    <row r="17" ht="34" customHeight="1" spans="1:36">
      <c r="A17" s="13" t="s">
        <v>130</v>
      </c>
      <c r="B17" s="13" t="s">
        <v>107</v>
      </c>
      <c r="C17" s="14" t="s">
        <v>131</v>
      </c>
      <c r="D17" s="13" t="s">
        <v>132</v>
      </c>
      <c r="E17" s="15" t="s">
        <v>133</v>
      </c>
      <c r="F17" s="14" t="s">
        <v>134</v>
      </c>
      <c r="G17" s="14" t="s">
        <v>135</v>
      </c>
      <c r="H17" s="16" t="s">
        <v>43</v>
      </c>
      <c r="I17" s="13" t="s">
        <v>44</v>
      </c>
      <c r="J17" s="13" t="s">
        <v>45</v>
      </c>
      <c r="K17" s="13" t="s">
        <v>46</v>
      </c>
      <c r="L17" s="13" t="s">
        <v>47</v>
      </c>
      <c r="M17" s="13" t="s">
        <v>48</v>
      </c>
      <c r="N17" s="13" t="s">
        <v>49</v>
      </c>
      <c r="O17" s="17" t="s">
        <v>50</v>
      </c>
      <c r="P17" s="18" t="s">
        <v>50</v>
      </c>
      <c r="Q17" s="19" t="s">
        <v>50</v>
      </c>
      <c r="R17" s="19" t="s">
        <v>50</v>
      </c>
      <c r="S17" s="19" t="s">
        <v>50</v>
      </c>
      <c r="T17" s="19" t="s">
        <v>50</v>
      </c>
      <c r="U17" s="19" t="s">
        <v>50</v>
      </c>
      <c r="V17" s="19" t="s">
        <v>50</v>
      </c>
      <c r="W17" s="19" t="s">
        <v>50</v>
      </c>
      <c r="X17" s="20" t="s">
        <v>50</v>
      </c>
      <c r="Y17" s="20" t="s">
        <v>50</v>
      </c>
      <c r="Z17" s="20" t="s">
        <v>50</v>
      </c>
      <c r="AA17" s="20" t="s">
        <v>50</v>
      </c>
      <c r="AB17" s="20" t="s">
        <v>50</v>
      </c>
      <c r="AC17" s="20" t="s">
        <v>50</v>
      </c>
      <c r="AD17" s="21" t="s">
        <v>50</v>
      </c>
      <c r="AE17" s="21" t="s">
        <v>50</v>
      </c>
      <c r="AF17" s="22" t="str">
        <f t="shared" si="0"/>
        <v>待测</v>
      </c>
      <c r="AG17" s="22" t="s">
        <v>50</v>
      </c>
      <c r="AH17" s="22" t="str">
        <f t="shared" si="1"/>
        <v>待测</v>
      </c>
      <c r="AI17" s="22" t="str">
        <f t="shared" si="2"/>
        <v>待测</v>
      </c>
      <c r="AJ17" s="23" t="s">
        <v>50</v>
      </c>
    </row>
    <row r="18" ht="34" customHeight="1" spans="1:36">
      <c r="A18" s="13" t="s">
        <v>136</v>
      </c>
      <c r="B18" s="13" t="s">
        <v>137</v>
      </c>
      <c r="C18" s="14" t="s">
        <v>138</v>
      </c>
      <c r="D18" s="13" t="s">
        <v>139</v>
      </c>
      <c r="E18" s="15" t="s">
        <v>140</v>
      </c>
      <c r="F18" s="14" t="s">
        <v>141</v>
      </c>
      <c r="G18" s="14" t="s">
        <v>142</v>
      </c>
      <c r="H18" s="16" t="s">
        <v>43</v>
      </c>
      <c r="I18" s="13" t="s">
        <v>44</v>
      </c>
      <c r="J18" s="13" t="s">
        <v>45</v>
      </c>
      <c r="K18" s="13" t="s">
        <v>46</v>
      </c>
      <c r="L18" s="13" t="s">
        <v>47</v>
      </c>
      <c r="M18" s="13" t="s">
        <v>48</v>
      </c>
      <c r="N18" s="13" t="s">
        <v>49</v>
      </c>
      <c r="O18" s="17">
        <v>76</v>
      </c>
      <c r="P18" s="18">
        <v>113.374</v>
      </c>
      <c r="Q18" s="19">
        <v>0.002</v>
      </c>
      <c r="R18" s="19">
        <v>5.08</v>
      </c>
      <c r="S18" s="19">
        <v>1.639</v>
      </c>
      <c r="T18" s="19">
        <v>0.512</v>
      </c>
      <c r="U18" s="19">
        <v>7.047</v>
      </c>
      <c r="V18" s="19">
        <v>0.001</v>
      </c>
      <c r="W18" s="19">
        <v>14.281</v>
      </c>
      <c r="X18" s="20" t="s">
        <v>50</v>
      </c>
      <c r="Y18" s="20" t="s">
        <v>50</v>
      </c>
      <c r="Z18" s="20" t="s">
        <v>50</v>
      </c>
      <c r="AA18" s="20" t="s">
        <v>50</v>
      </c>
      <c r="AB18" s="20" t="s">
        <v>50</v>
      </c>
      <c r="AC18" s="20" t="s">
        <v>50</v>
      </c>
      <c r="AD18" s="21" t="s">
        <v>50</v>
      </c>
      <c r="AE18" s="21" t="s">
        <v>50</v>
      </c>
      <c r="AF18" s="22" t="str">
        <f t="shared" si="0"/>
        <v>待测</v>
      </c>
      <c r="AG18" s="22" t="s">
        <v>50</v>
      </c>
      <c r="AH18" s="22" t="str">
        <f t="shared" si="1"/>
        <v>达标</v>
      </c>
      <c r="AI18" s="22" t="str">
        <f t="shared" si="2"/>
        <v>待测</v>
      </c>
      <c r="AJ18" s="23" t="s">
        <v>50</v>
      </c>
    </row>
  </sheetData>
  <conditionalFormatting sqref="AF2:AF18">
    <cfRule type="containsText" dxfId="0" priority="1" operator="between" text="达标">
      <formula>NOT(ISERROR(SEARCH("达标",AF2)))</formula>
    </cfRule>
    <cfRule type="containsText" dxfId="0" priority="2" operator="between" text="一致">
      <formula>NOT(ISERROR(SEARCH("一致",AF2)))</formula>
    </cfRule>
    <cfRule type="containsText" dxfId="1" priority="3" operator="between" text="未达标">
      <formula>NOT(ISERROR(SEARCH("未达标",AF2)))</formula>
    </cfRule>
    <cfRule type="containsText" dxfId="1" priority="4" operator="between" text="不一致">
      <formula>NOT(ISERROR(SEARCH("不一致",AF2)))</formula>
    </cfRule>
  </conditionalFormatting>
  <conditionalFormatting sqref="AH2:AI18">
    <cfRule type="containsText" dxfId="0" priority="5" operator="between" text="达标">
      <formula>NOT(ISERROR(SEARCH("达标",AH2)))</formula>
    </cfRule>
    <cfRule type="containsText" dxfId="0" priority="6" operator="between" text="一致">
      <formula>NOT(ISERROR(SEARCH("一致",AH2)))</formula>
    </cfRule>
    <cfRule type="containsText" dxfId="1" priority="7" operator="between" text="未达标">
      <formula>NOT(ISERROR(SEARCH("未达标",AH2)))</formula>
    </cfRule>
    <cfRule type="containsText" dxfId="1" priority="8" operator="between" text="不一致">
      <formula>NOT(ISERROR(SEARCH("不一致",AH2)))</formula>
    </cfRule>
  </conditionalFormatting>
  <dataValidations count="3">
    <dataValidation type="list" sqref="J2:J18">
      <formula1>"Debug,Release"</formula1>
    </dataValidation>
    <dataValidation type="whole" operator="between" sqref="O2:O18">
      <formula1>0</formula1>
      <formula2>100</formula2>
    </dataValidation>
    <dataValidation type="list" sqref="AG2:AG18">
      <formula1>"偏暗,偏亮,低对比度,正常,不适用"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showGridLines="0" workbookViewId="0">
      <selection activeCell="A1" sqref="A1:F2"/>
    </sheetView>
  </sheetViews>
  <sheetFormatPr defaultColWidth="9" defaultRowHeight="16.8" outlineLevelCol="5"/>
  <cols>
    <col min="1" max="1" width="18" customWidth="1"/>
    <col min="2" max="2" width="30" customWidth="1"/>
    <col min="3" max="6" width="20" customWidth="1"/>
  </cols>
  <sheetData>
    <row r="1" ht="34" customHeight="1" spans="1:6">
      <c r="A1" s="5" t="s">
        <v>143</v>
      </c>
      <c r="B1" s="5"/>
      <c r="C1" s="5"/>
      <c r="D1" s="5"/>
      <c r="E1" s="5"/>
      <c r="F1" s="5"/>
    </row>
    <row r="2" ht="34" customHeight="1" spans="1:6">
      <c r="A2" s="5"/>
      <c r="B2" s="5"/>
      <c r="C2" s="5"/>
      <c r="D2" s="5"/>
      <c r="E2" s="5"/>
      <c r="F2" s="5"/>
    </row>
    <row r="3" ht="26" customHeight="1"/>
    <row r="4" ht="26" customHeight="1" spans="1:6">
      <c r="A4" s="6" t="s">
        <v>144</v>
      </c>
      <c r="B4" s="6" t="s">
        <v>145</v>
      </c>
    </row>
    <row r="5" ht="26" customHeight="1" spans="1:6">
      <c r="A5" s="7" t="s">
        <v>146</v>
      </c>
      <c r="B5" s="8">
        <v>17</v>
      </c>
    </row>
    <row r="6" ht="26" customHeight="1" spans="1:6">
      <c r="A6" s="7" t="s">
        <v>147</v>
      </c>
      <c r="B6" s="8">
        <f>COUNT(全ID验收记录!W2:W18)+COUNTIF(全ID验收记录!AJ2:AJ18,"*拒绝*")</f>
        <v>1</v>
      </c>
    </row>
    <row r="7" ht="26" customHeight="1" spans="1:6">
      <c r="A7" s="7" t="s">
        <v>148</v>
      </c>
      <c r="B7" s="8">
        <f>COUNTIF(全ID验收记录!AF2:AF18,"一致")</f>
        <v>0</v>
      </c>
    </row>
    <row r="8" ht="26" customHeight="1" spans="1:6">
      <c r="A8" s="7" t="s">
        <v>149</v>
      </c>
      <c r="B8" s="8">
        <f>COUNTIF(全ID验收记录!AH2:AH18,"达标")</f>
        <v>1</v>
      </c>
    </row>
    <row r="9" ht="26" customHeight="1" spans="1:6">
      <c r="A9" s="7" t="s">
        <v>150</v>
      </c>
      <c r="B9" s="8">
        <f>COUNTIF(全ID验收记录!AI2:AI18,"达标")</f>
        <v>0</v>
      </c>
    </row>
    <row r="10" ht="26" customHeight="1" spans="1:6">
      <c r="A10" s="7" t="s">
        <v>151</v>
      </c>
      <c r="B10" s="8" t="str">
        <f>IF(OR(全ID验收记录!W10="",全ID验收记录!AC10=""),"待填写","A "&amp;TEXT(全ID验收记录!W10,"0.000")&amp;" ms；B "&amp;TEXT(全ID验收记录!AC10,"0.000")&amp;" ms")</f>
        <v>待填写</v>
      </c>
    </row>
    <row r="11" ht="26" customHeight="1"/>
    <row r="12" ht="26" customHeight="1" spans="1:6">
      <c r="A12" s="9" t="s">
        <v>152</v>
      </c>
      <c r="B12" s="9"/>
      <c r="C12" s="9"/>
      <c r="D12" s="9"/>
      <c r="E12" s="9"/>
      <c r="F12" s="9"/>
    </row>
    <row r="13" ht="26" customHeight="1"/>
    <row r="14" ht="26" customHeight="1" spans="1:6">
      <c r="A14" s="10" t="s">
        <v>153</v>
      </c>
      <c r="B14" s="10" t="s">
        <v>154</v>
      </c>
      <c r="C14" s="10" t="s">
        <v>155</v>
      </c>
      <c r="D14" s="10" t="s">
        <v>156</v>
      </c>
      <c r="E14" s="10" t="s">
        <v>157</v>
      </c>
      <c r="F14" s="10" t="s">
        <v>158</v>
      </c>
    </row>
    <row r="15" ht="26" customHeight="1" spans="1:6">
      <c r="A15" s="11" t="s">
        <v>159</v>
      </c>
      <c r="B15" s="11" t="s">
        <v>160</v>
      </c>
      <c r="C15" s="11" t="s">
        <v>161</v>
      </c>
      <c r="D15" s="11" t="s">
        <v>162</v>
      </c>
      <c r="E15" s="11" t="s">
        <v>163</v>
      </c>
      <c r="F15" s="11" t="s">
        <v>164</v>
      </c>
    </row>
    <row r="16" ht="26" customHeight="1" spans="1:6">
      <c r="A16" s="11" t="s">
        <v>90</v>
      </c>
      <c r="B16" s="11" t="s">
        <v>165</v>
      </c>
      <c r="C16" s="11" t="s">
        <v>166</v>
      </c>
      <c r="D16" s="11" t="s">
        <v>167</v>
      </c>
      <c r="E16" s="11" t="s">
        <v>168</v>
      </c>
      <c r="F16" s="11" t="s">
        <v>164</v>
      </c>
    </row>
    <row r="17" ht="26" customHeight="1" spans="1:6">
      <c r="A17" s="11" t="s">
        <v>97</v>
      </c>
      <c r="B17" s="11" t="s">
        <v>169</v>
      </c>
      <c r="C17" s="11" t="s">
        <v>170</v>
      </c>
      <c r="D17" s="11" t="s">
        <v>171</v>
      </c>
      <c r="E17" s="11" t="s">
        <v>172</v>
      </c>
      <c r="F17" s="11" t="s">
        <v>173</v>
      </c>
    </row>
    <row r="18" ht="26" customHeight="1" spans="1:6">
      <c r="A18" s="11" t="s">
        <v>136</v>
      </c>
      <c r="B18" s="11" t="s">
        <v>174</v>
      </c>
      <c r="C18" s="11" t="s">
        <v>139</v>
      </c>
      <c r="D18" s="11" t="s">
        <v>167</v>
      </c>
      <c r="E18" s="11" t="s">
        <v>163</v>
      </c>
      <c r="F18" s="11" t="s">
        <v>164</v>
      </c>
    </row>
  </sheetData>
  <mergeCells count="2">
    <mergeCell ref="A12:F12"/>
    <mergeCell ref="A1:F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8"/>
  <sheetViews>
    <sheetView showGridLines="0" workbookViewId="0">
      <selection activeCell="A1" sqref="A1"/>
    </sheetView>
  </sheetViews>
  <sheetFormatPr defaultColWidth="9" defaultRowHeight="16.8" outlineLevelCol="6"/>
  <cols>
    <col min="1" max="1" width="9" customWidth="1"/>
    <col min="2" max="2" width="15" customWidth="1"/>
    <col min="3" max="3" width="32" customWidth="1"/>
    <col min="4" max="5" width="15" customWidth="1"/>
    <col min="6" max="6" width="28" customWidth="1"/>
    <col min="7" max="7" width="48" customWidth="1"/>
  </cols>
  <sheetData>
    <row r="1" ht="17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36" customHeight="1" spans="1:7">
      <c r="A2" s="2" t="s">
        <v>36</v>
      </c>
      <c r="B2" s="2" t="s">
        <v>37</v>
      </c>
      <c r="C2" s="2" t="s">
        <v>38</v>
      </c>
      <c r="D2" s="2" t="s">
        <v>39</v>
      </c>
      <c r="E2" s="3" t="s">
        <v>40</v>
      </c>
      <c r="F2" s="4" t="s">
        <v>41</v>
      </c>
      <c r="G2" s="4" t="s">
        <v>42</v>
      </c>
    </row>
    <row r="3" ht="36" customHeight="1" spans="1:7">
      <c r="A3" s="2" t="s">
        <v>51</v>
      </c>
      <c r="B3" s="2" t="s">
        <v>37</v>
      </c>
      <c r="C3" s="2" t="s">
        <v>52</v>
      </c>
      <c r="D3" s="2" t="s">
        <v>39</v>
      </c>
      <c r="E3" s="3" t="s">
        <v>40</v>
      </c>
      <c r="F3" s="4" t="s">
        <v>53</v>
      </c>
      <c r="G3" s="4" t="s">
        <v>54</v>
      </c>
    </row>
    <row r="4" ht="36" customHeight="1" spans="1:7">
      <c r="A4" s="2" t="s">
        <v>55</v>
      </c>
      <c r="B4" s="2" t="s">
        <v>37</v>
      </c>
      <c r="C4" s="2" t="s">
        <v>56</v>
      </c>
      <c r="D4" s="2" t="s">
        <v>39</v>
      </c>
      <c r="E4" s="3" t="s">
        <v>40</v>
      </c>
      <c r="F4" s="4" t="s">
        <v>57</v>
      </c>
      <c r="G4" s="4" t="s">
        <v>58</v>
      </c>
    </row>
    <row r="5" ht="36" customHeight="1" spans="1:7">
      <c r="A5" s="2" t="s">
        <v>59</v>
      </c>
      <c r="B5" s="2" t="s">
        <v>37</v>
      </c>
      <c r="C5" s="2" t="s">
        <v>60</v>
      </c>
      <c r="D5" s="2" t="s">
        <v>39</v>
      </c>
      <c r="E5" s="3" t="s">
        <v>40</v>
      </c>
      <c r="F5" s="4" t="s">
        <v>61</v>
      </c>
      <c r="G5" s="4" t="s">
        <v>62</v>
      </c>
    </row>
    <row r="6" ht="36" customHeight="1" spans="1:7">
      <c r="A6" s="2" t="s">
        <v>63</v>
      </c>
      <c r="B6" s="2" t="s">
        <v>37</v>
      </c>
      <c r="C6" s="2" t="s">
        <v>64</v>
      </c>
      <c r="D6" s="2" t="s">
        <v>39</v>
      </c>
      <c r="E6" s="3" t="s">
        <v>40</v>
      </c>
      <c r="F6" s="4" t="s">
        <v>65</v>
      </c>
      <c r="G6" s="4" t="s">
        <v>66</v>
      </c>
    </row>
    <row r="7" ht="36" customHeight="1" spans="1:7">
      <c r="A7" s="2" t="s">
        <v>67</v>
      </c>
      <c r="B7" s="2" t="s">
        <v>37</v>
      </c>
      <c r="C7" s="2" t="s">
        <v>68</v>
      </c>
      <c r="D7" s="2" t="s">
        <v>39</v>
      </c>
      <c r="E7" s="3" t="s">
        <v>40</v>
      </c>
      <c r="F7" s="4" t="s">
        <v>69</v>
      </c>
      <c r="G7" s="4" t="s">
        <v>70</v>
      </c>
    </row>
    <row r="8" ht="36" customHeight="1" spans="1:7">
      <c r="A8" s="2" t="s">
        <v>71</v>
      </c>
      <c r="B8" s="2" t="s">
        <v>72</v>
      </c>
      <c r="C8" s="2" t="s">
        <v>73</v>
      </c>
      <c r="D8" s="2" t="s">
        <v>74</v>
      </c>
      <c r="E8" s="3" t="s">
        <v>75</v>
      </c>
      <c r="F8" s="4" t="s">
        <v>76</v>
      </c>
      <c r="G8" s="4" t="s">
        <v>77</v>
      </c>
    </row>
    <row r="9" ht="36" customHeight="1" spans="1:7">
      <c r="A9" s="2" t="s">
        <v>78</v>
      </c>
      <c r="B9" s="2" t="s">
        <v>79</v>
      </c>
      <c r="C9" s="2" t="s">
        <v>80</v>
      </c>
      <c r="D9" s="2" t="s">
        <v>39</v>
      </c>
      <c r="E9" s="3" t="s">
        <v>40</v>
      </c>
      <c r="F9" s="4" t="s">
        <v>81</v>
      </c>
      <c r="G9" s="4" t="s">
        <v>82</v>
      </c>
    </row>
    <row r="10" ht="36" customHeight="1" spans="1:7">
      <c r="A10" s="2" t="s">
        <v>83</v>
      </c>
      <c r="B10" s="2" t="s">
        <v>84</v>
      </c>
      <c r="C10" s="2" t="s">
        <v>85</v>
      </c>
      <c r="D10" s="2" t="s">
        <v>86</v>
      </c>
      <c r="E10" s="3" t="s">
        <v>87</v>
      </c>
      <c r="F10" s="4" t="s">
        <v>88</v>
      </c>
      <c r="G10" s="4" t="s">
        <v>89</v>
      </c>
    </row>
    <row r="11" ht="36" customHeight="1" spans="1:7">
      <c r="A11" s="2" t="s">
        <v>90</v>
      </c>
      <c r="B11" s="2" t="s">
        <v>91</v>
      </c>
      <c r="C11" s="2" t="s">
        <v>92</v>
      </c>
      <c r="D11" s="2" t="s">
        <v>93</v>
      </c>
      <c r="E11" s="3" t="s">
        <v>94</v>
      </c>
      <c r="F11" s="4" t="s">
        <v>95</v>
      </c>
      <c r="G11" s="4" t="s">
        <v>96</v>
      </c>
    </row>
    <row r="12" ht="36" customHeight="1" spans="1:7">
      <c r="A12" s="2" t="s">
        <v>97</v>
      </c>
      <c r="B12" s="2" t="s">
        <v>98</v>
      </c>
      <c r="C12" s="2" t="s">
        <v>99</v>
      </c>
      <c r="D12" s="2" t="s">
        <v>100</v>
      </c>
      <c r="E12" s="3" t="s">
        <v>101</v>
      </c>
      <c r="F12" s="4" t="s">
        <v>102</v>
      </c>
      <c r="G12" s="4" t="s">
        <v>103</v>
      </c>
    </row>
    <row r="13" ht="36" customHeight="1" spans="1:7">
      <c r="A13" s="2" t="s">
        <v>106</v>
      </c>
      <c r="B13" s="2" t="s">
        <v>107</v>
      </c>
      <c r="C13" s="2" t="s">
        <v>108</v>
      </c>
      <c r="D13" s="2" t="s">
        <v>109</v>
      </c>
      <c r="E13" s="3" t="s">
        <v>110</v>
      </c>
      <c r="F13" s="4" t="s">
        <v>111</v>
      </c>
      <c r="G13" s="4" t="s">
        <v>112</v>
      </c>
    </row>
    <row r="14" ht="36" customHeight="1" spans="1:7">
      <c r="A14" s="2" t="s">
        <v>113</v>
      </c>
      <c r="B14" s="2" t="s">
        <v>107</v>
      </c>
      <c r="C14" s="2" t="s">
        <v>114</v>
      </c>
      <c r="D14" s="2" t="s">
        <v>115</v>
      </c>
      <c r="E14" s="3" t="s">
        <v>116</v>
      </c>
      <c r="F14" s="4" t="s">
        <v>117</v>
      </c>
      <c r="G14" s="4" t="s">
        <v>118</v>
      </c>
    </row>
    <row r="15" ht="36" customHeight="1" spans="1:7">
      <c r="A15" s="2" t="s">
        <v>119</v>
      </c>
      <c r="B15" s="2" t="s">
        <v>107</v>
      </c>
      <c r="C15" s="2" t="s">
        <v>120</v>
      </c>
      <c r="D15" s="2" t="s">
        <v>121</v>
      </c>
      <c r="E15" s="3" t="s">
        <v>110</v>
      </c>
      <c r="F15" s="4" t="s">
        <v>122</v>
      </c>
      <c r="G15" s="4" t="s">
        <v>123</v>
      </c>
    </row>
    <row r="16" ht="36" customHeight="1" spans="1:7">
      <c r="A16" s="2" t="s">
        <v>124</v>
      </c>
      <c r="B16" s="2" t="s">
        <v>107</v>
      </c>
      <c r="C16" s="2" t="s">
        <v>125</v>
      </c>
      <c r="D16" s="2" t="s">
        <v>126</v>
      </c>
      <c r="E16" s="3" t="s">
        <v>127</v>
      </c>
      <c r="F16" s="4" t="s">
        <v>128</v>
      </c>
      <c r="G16" s="4" t="s">
        <v>129</v>
      </c>
    </row>
    <row r="17" ht="36" customHeight="1" spans="1:7">
      <c r="A17" s="2" t="s">
        <v>130</v>
      </c>
      <c r="B17" s="2" t="s">
        <v>107</v>
      </c>
      <c r="C17" s="2" t="s">
        <v>131</v>
      </c>
      <c r="D17" s="2" t="s">
        <v>132</v>
      </c>
      <c r="E17" s="3" t="s">
        <v>133</v>
      </c>
      <c r="F17" s="4" t="s">
        <v>134</v>
      </c>
      <c r="G17" s="4" t="s">
        <v>135</v>
      </c>
    </row>
    <row r="18" ht="36" customHeight="1" spans="1:7">
      <c r="A18" s="2" t="s">
        <v>136</v>
      </c>
      <c r="B18" s="2" t="s">
        <v>137</v>
      </c>
      <c r="C18" s="2" t="s">
        <v>138</v>
      </c>
      <c r="D18" s="2" t="s">
        <v>139</v>
      </c>
      <c r="E18" s="3" t="s">
        <v>140</v>
      </c>
      <c r="F18" s="4" t="s">
        <v>141</v>
      </c>
      <c r="G18" s="4" t="s">
        <v>142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全ID验收记录</vt:lpstr>
      <vt:lpstr>验收汇总</vt:lpstr>
      <vt:lpstr>测试图片说明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WPS_1778406276</cp:lastModifiedBy>
  <dcterms:created xsi:type="dcterms:W3CDTF">2026-07-08T21:49:54Z</dcterms:created>
  <dcterms:modified xsi:type="dcterms:W3CDTF">2026-07-09T15:54:04Z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2052-12.1.24031.24031</vt:lpwstr>
  </property>
  <property fmtid="{D5CDD505-2E9C-101B-9397-08002B2CF9AE}" pid="3" name="CalculationRule">
    <vt:i4>0</vt:i4>
  </property>
  <property fmtid="{D5CDD505-2E9C-101B-9397-08002B2CF9AE}" pid="4" name="ICV">
    <vt:lpwstr>41A35C8D439DC630D3504F6A23176F58_42</vt:lpwstr>
  </property>
</Properties>
</file>