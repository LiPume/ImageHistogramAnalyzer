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25073a548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次记录" sheetId="1" r:id="Re9911911d1ab44dc"/>
    <x:sheet xmlns:r="http://schemas.openxmlformats.org/officeDocument/2006/relationships" name="结果汇总" sheetId="2" r:id="R49d67cd1fd9d4359"/>
    <x:sheet xmlns:r="http://schemas.openxmlformats.org/officeDocument/2006/relationships" name="测试图片" sheetId="3" r:id="Rcf37d468ef09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"/>
    <x:numFmt numFmtId="203" formatCode="0.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17493C"/>
      <x:name val="Carlito"/>
    </x:font>
    <x:font>
      <x:b/>
      <x:sz val="11"/>
      <x:color rgb="FF5E4612"/>
      <x:name val="Carlito"/>
    </x:font>
    <x:font>
      <x:b/>
      <x:sz val="11"/>
      <x:color rgb="FF245B96"/>
      <x:name val="Carlito"/>
    </x:font>
    <x:font>
      <x:sz val="11"/>
      <x:color rgb="FF17493C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367FCF"/>
      </x:patternFill>
    </x:fill>
    <x:fill>
      <x:patternFill patternType="solid">
        <x:fgColor rgb="FFF7FAFC"/>
      </x:patternFill>
    </x:fill>
    <x:fill>
      <x:patternFill patternType="solid">
        <x:fgColor rgb="FFDDF5EC"/>
      </x:patternFill>
    </x:fill>
    <x:fill>
      <x:patternFill patternType="solid">
        <x:fgColor rgb="FFF4FBF8"/>
      </x:patternFill>
    </x:fill>
    <x:fill>
      <x:patternFill patternType="solid">
        <x:fgColor rgb="FFFFF0C7"/>
      </x:patternFill>
    </x:fill>
    <x:fill>
      <x:patternFill patternType="solid">
        <x:fgColor rgb="FFFFF9EA"/>
      </x:patternFill>
    </x:fill>
    <x:fill>
      <x:patternFill patternType="solid">
        <x:fgColor rgb="FFE8F2FC"/>
      </x:patternFill>
    </x:fill>
    <x:fill>
      <x:patternFill patternType="solid">
        <x:fgColor rgb="FFDDF5EC"/>
      </x:patternFill>
    </x:fill>
    <x:fill>
      <x:patternFill patternType="solid">
        <x:fgColor rgb="FFF4FBF8"/>
      </x:patternFill>
    </x:fill>
    <x:fill>
      <x:patternFill patternType="solid">
        <x:fgColor rgb="FF367FCF"/>
      </x:patternFill>
    </x:fill>
    <x:fill>
      <x:patternFill patternType="solid">
        <x:fgColor rgb="FFF7FAFC"/>
      </x:patternFill>
    </x:fill>
    <x:fill>
      <x:patternFill patternType="solid">
        <x:fgColor rgb="FFE8F2FC"/>
      </x:patternFill>
    </x:fill>
    <x:fill>
      <x:patternFill patternType="solid">
        <x:fgColor rgb="FFDDF5EC"/>
      </x:patternFill>
    </x:fill>
    <x:fill>
      <x:patternFill patternType="solid">
        <x:fgColor rgb="FFF4FBF8"/>
      </x:patternFill>
    </x:fill>
    <x:fill>
      <x:patternFill patternType="solid">
        <x:fgColor rgb="FF367FCF"/>
      </x:patternFill>
    </x:fill>
    <x:fill>
      <x:patternFill patternType="solid">
        <x:fgColor rgb="FFF7FAFC"/>
      </x:patternFill>
    </x:fill>
    <x:fill>
      <x:patternFill patternType="solid">
        <x:fgColor rgb="FFE8F2FC"/>
      </x:patternFill>
    </x:fill>
    <x:fill>
      <x:patternFill patternType="solid">
        <x:fgColor rgb="FFDDF5EC"/>
      </x:patternFill>
    </x:fill>
    <x:fill>
      <x:patternFill patternType="solid">
        <x:fgColor rgb="FFF4FBF8"/>
      </x:patternFill>
    </x:fill>
    <x:fill>
      <x:patternFill patternType="solid">
        <x:fgColor rgb="FF367FCF"/>
      </x:patternFill>
    </x:fill>
    <x:fill>
      <x:patternFill patternType="solid">
        <x:fgColor rgb="FFF7FAFC"/>
      </x:patternFill>
    </x:fill>
    <x:fill>
      <x:patternFill patternType="solid">
        <x:fgColor rgb="FFE8F2FC"/>
      </x:patternFill>
    </x:fill>
  </x:fills>
  <x:borders count="24">
    <x:border/>
    <x:border/>
    <x:border>
      <x:left style="thin">
        <x:color rgb="FF245B96"/>
      </x:left>
      <x:top style="thin">
        <x:color rgb="FF245B96"/>
      </x:top>
      <x:bottom style="thin">
        <x:color rgb="FF245B96"/>
      </x:bottom>
    </x:border>
    <x:border>
      <x:top style="thin">
        <x:color rgb="FF245B96"/>
      </x:top>
      <x:bottom style="thin">
        <x:color rgb="FF245B96"/>
      </x:bottom>
    </x:border>
    <x:border>
      <x:right style="thin">
        <x:color rgb="FF245B96"/>
      </x:right>
      <x:top style="thin">
        <x:color rgb="FF245B96"/>
      </x:top>
      <x:bottom style="thin">
        <x:color rgb="FF245B96"/>
      </x:bottom>
    </x:border>
    <x:border>
      <x:left style="thin">
        <x:color rgb="FF245B96"/>
      </x:left>
      <x:top style="thin">
        <x:color rgb="FF245B96"/>
      </x:top>
      <x:bottom style="thin">
        <x:color rgb="FF245B96"/>
      </x:bottom>
    </x:border>
    <x:border>
      <x:top style="thin">
        <x:color rgb="FF245B96"/>
      </x:top>
      <x:bottom style="thin">
        <x:color rgb="FF245B96"/>
      </x:bottom>
    </x:border>
    <x:border>
      <x:right style="thin">
        <x:color rgb="FF245B96"/>
      </x:right>
      <x:top style="thin">
        <x:color rgb="FF245B96"/>
      </x:top>
      <x:bottom style="thin">
        <x:color rgb="FF245B96"/>
      </x:bottom>
    </x:border>
    <x:border>
      <x:bottom style="thin">
        <x:color rgb="FFDCE7F1"/>
      </x:bottom>
    </x:border>
    <x:border>
      <x:top style="thin">
        <x:color rgb="FFDCE7F1"/>
      </x:top>
      <x:bottom style="thin">
        <x:color rgb="FFDCE7F1"/>
      </x:bottom>
    </x:border>
    <x:border>
      <x:top style="thin">
        <x:color rgb="FFDCE7F1"/>
      </x:top>
    </x:border>
    <x:border>
      <x:bottom style="thin">
        <x:color rgb="FFDCE7F1"/>
      </x:bottom>
    </x:border>
    <x:border>
      <x:top style="thin">
        <x:color rgb="FFDCE7F1"/>
      </x:top>
      <x:bottom style="thin">
        <x:color rgb="FFDCE7F1"/>
      </x:bottom>
    </x:border>
    <x:border>
      <x:top style="thin">
        <x:color rgb="FFDCE7F1"/>
      </x:top>
    </x:border>
    <x:border>
      <x:left style="thin">
        <x:color rgb="FFD4A93C"/>
      </x:left>
      <x:top style="thin">
        <x:color rgb="FFD4A93C"/>
      </x:top>
      <x:bottom style="thin">
        <x:color rgb="FFD4A93C"/>
      </x:bottom>
    </x:border>
    <x:border>
      <x:top style="thin">
        <x:color rgb="FFD4A93C"/>
      </x:top>
      <x:bottom style="thin">
        <x:color rgb="FFD4A93C"/>
      </x:bottom>
    </x:border>
    <x:border>
      <x:right style="thin">
        <x:color rgb="FFD4A93C"/>
      </x:right>
      <x:top style="thin">
        <x:color rgb="FFD4A93C"/>
      </x:top>
      <x:bottom style="thin">
        <x:color rgb="FFD4A93C"/>
      </x:bottom>
    </x:border>
    <x:border>
      <x:left style="thin">
        <x:color rgb="FFD4A93C"/>
      </x:left>
      <x:top style="thin">
        <x:color rgb="FFD4A93C"/>
      </x:top>
      <x:bottom style="thin">
        <x:color rgb="FFD4A93C"/>
      </x:bottom>
    </x:border>
    <x:border>
      <x:top style="thin">
        <x:color rgb="FFD4A93C"/>
      </x:top>
      <x:bottom style="thin">
        <x:color rgb="FFD4A93C"/>
      </x:bottom>
    </x:border>
    <x:border>
      <x:right style="thin">
        <x:color rgb="FFD4A93C"/>
      </x:right>
      <x:top style="thin">
        <x:color rgb="FFD4A93C"/>
      </x:top>
      <x:bottom style="thin">
        <x:color rgb="FFD4A93C"/>
      </x:bottom>
    </x:border>
    <x:border>
      <x:bottom style="thin">
        <x:color rgb="FFE7D7AD"/>
      </x:bottom>
    </x:border>
    <x:border>
      <x:top style="thin">
        <x:color rgb="FFE7D7AD"/>
      </x:top>
      <x:bottom style="thin">
        <x:color rgb="FFD4A93C"/>
      </x:bottom>
    </x:border>
    <x:border>
      <x:bottom style="thin">
        <x:color rgb="FFE7D7AD"/>
      </x:bottom>
    </x:border>
    <x:border>
      <x:top style="thin">
        <x:color rgb="FFE7D7AD"/>
      </x:top>
      <x:bottom style="thin">
        <x:color rgb="FFD4A93C"/>
      </x:bottom>
    </x:border>
  </x:borders>
  <x:cellStyleXfs count="1">
    <x:xf numFmtId="0" fontId="0" fillId="0" borderId="0"/>
  </x:cellStyleXfs>
  <x:cellXfs count="2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200" fontId="2" fillId="3" borderId="8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0" fontId="2" fillId="3" borderId="10" xfId="0" applyNumberFormat="1" applyFont="1" applyFill="1" applyBorder="1" applyAlignment="1">
      <x:alignment vertical="center"/>
    </x:xf>
    <x:xf numFmtId="200" fontId="2" fillId="3" borderId="11" xfId="0" applyNumberFormat="1" applyFont="1" applyFill="1" applyBorder="1" applyAlignment="1">
      <x:alignment vertical="center"/>
    </x:xf>
    <x:xf numFmtId="200" fontId="2" fillId="3" borderId="12" xfId="0" applyNumberFormat="1" applyFont="1" applyFill="1" applyBorder="1" applyAlignment="1">
      <x:alignment vertical="center"/>
    </x:xf>
    <x:xf numFmtId="200" fontId="2" fillId="3" borderId="13" xfId="0" applyNumberFormat="1" applyFont="1" applyFill="1" applyBorder="1" applyAlignment="1">
      <x:alignment vertical="center"/>
    </x:xf>
    <x:xf numFmtId="201" fontId="2" fillId="3" borderId="8" xfId="0" applyNumberFormat="1" applyFont="1" applyFill="1" applyBorder="1" applyAlignment="1">
      <x:alignment vertical="center" wrapText="1"/>
    </x:xf>
    <x:xf numFmtId="201" fontId="2" fillId="3" borderId="9" xfId="0" applyNumberFormat="1" applyFont="1" applyFill="1" applyBorder="1" applyAlignment="1">
      <x:alignment vertical="center" wrapText="1"/>
    </x:xf>
    <x:xf numFmtId="201" fontId="2" fillId="3" borderId="10" xfId="0" applyNumberFormat="1" applyFont="1" applyFill="1" applyBorder="1" applyAlignment="1">
      <x:alignment vertical="center" wrapText="1"/>
    </x:xf>
    <x:xf numFmtId="201" fontId="2" fillId="3" borderId="11" xfId="0" applyNumberFormat="1" applyFont="1" applyFill="1" applyBorder="1" applyAlignment="1">
      <x:alignment vertical="center" wrapText="1"/>
    </x:xf>
    <x:xf numFmtId="201" fontId="2" fillId="3" borderId="12" xfId="0" applyNumberFormat="1" applyFont="1" applyFill="1" applyBorder="1" applyAlignment="1">
      <x:alignment vertical="center" wrapText="1"/>
    </x:xf>
    <x:xf numFmtId="201" fontId="2" fillId="3" borderId="13" xfId="0" applyNumberFormat="1" applyFont="1" applyFill="1" applyBorder="1" applyAlignment="1">
      <x:alignment vertical="center" wrapText="1"/>
    </x:xf>
    <x:xf numFmtId="202" fontId="2" fillId="3" borderId="8" xfId="0" applyNumberFormat="1" applyFont="1" applyFill="1" applyBorder="1" applyAlignment="1">
      <x:alignment vertical="center" wrapText="1"/>
    </x:xf>
    <x:xf numFmtId="202" fontId="2" fillId="3" borderId="9" xfId="0" applyNumberFormat="1" applyFont="1" applyFill="1" applyBorder="1" applyAlignment="1">
      <x:alignment vertical="center" wrapText="1"/>
    </x:xf>
    <x:xf numFmtId="202" fontId="2" fillId="3" borderId="10" xfId="0" applyNumberFormat="1" applyFont="1" applyFill="1" applyBorder="1" applyAlignment="1">
      <x:alignment vertical="center" wrapText="1"/>
    </x:xf>
    <x:xf numFmtId="202" fontId="2" fillId="3" borderId="11" xfId="0" applyNumberFormat="1" applyFont="1" applyFill="1" applyBorder="1" applyAlignment="1">
      <x:alignment vertical="center" wrapText="1"/>
    </x:xf>
    <x:xf numFmtId="202" fontId="2" fillId="3" borderId="12" xfId="0" applyNumberFormat="1" applyFont="1" applyFill="1" applyBorder="1" applyAlignment="1">
      <x:alignment vertical="center" wrapText="1"/>
    </x:xf>
    <x:xf numFmtId="202" fontId="2" fillId="3" borderId="13" xfId="0" applyNumberFormat="1" applyFont="1" applyFill="1" applyBorder="1" applyAlignment="1">
      <x:alignment vertical="center" wrapText="1"/>
    </x:xf>
    <x:xf numFmtId="201" fontId="2" fillId="3" borderId="8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  <x:xf numFmtId="201" fontId="2" fillId="3" borderId="10" xfId="0" applyNumberFormat="1" applyFont="1" applyFill="1" applyBorder="1" applyAlignment="1">
      <x:alignment vertical="center"/>
    </x:xf>
    <x:xf numFmtId="201" fontId="2" fillId="3" borderId="11" xfId="0" applyNumberFormat="1" applyFont="1" applyFill="1" applyBorder="1" applyAlignment="1">
      <x:alignment vertical="center"/>
    </x:xf>
    <x:xf numFmtId="201" fontId="2" fillId="3" borderId="12" xfId="0" applyNumberFormat="1" applyFont="1" applyFill="1" applyBorder="1" applyAlignment="1">
      <x:alignment vertical="center"/>
    </x:xf>
    <x:xf numFmtId="201" fontId="2" fillId="3" borderId="13" xfId="0" applyNumberFormat="1" applyFont="1" applyFill="1" applyBorder="1" applyAlignment="1">
      <x:alignment vertical="center"/>
    </x:xf>
    <x:xf numFmtId="202" fontId="2" fillId="3" borderId="8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202" fontId="2" fillId="3" borderId="10" xfId="0" applyNumberFormat="1" applyFont="1" applyFill="1" applyBorder="1" applyAlignment="1">
      <x:alignment vertical="center"/>
    </x:xf>
    <x:xf numFmtId="202" fontId="2" fillId="3" borderId="11" xfId="0" applyNumberFormat="1" applyFont="1" applyFill="1" applyBorder="1" applyAlignment="1">
      <x:alignment vertical="center"/>
    </x:xf>
    <x:xf numFmtId="202" fontId="2" fillId="3" borderId="12" xfId="0" applyNumberFormat="1" applyFont="1" applyFill="1" applyBorder="1" applyAlignment="1">
      <x:alignment vertical="center"/>
    </x:xf>
    <x:xf numFmtId="202" fontId="2" fillId="3" borderId="13" xfId="0" applyNumberFormat="1" applyFont="1" applyFill="1" applyBorder="1" applyAlignment="1">
      <x:alignment vertical="center"/>
    </x:xf>
    <x:xf numFmtId="203" fontId="2" fillId="3" borderId="8" xfId="0" applyNumberFormat="1" applyFont="1" applyFill="1" applyBorder="1" applyAlignment="1">
      <x:alignment vertical="center"/>
    </x:xf>
    <x:xf numFmtId="203" fontId="2" fillId="3" borderId="9" xfId="0" applyNumberFormat="1" applyFont="1" applyFill="1" applyBorder="1" applyAlignment="1">
      <x:alignment vertical="center"/>
    </x:xf>
    <x:xf numFmtId="203" fontId="2" fillId="3" borderId="10" xfId="0" applyNumberFormat="1" applyFont="1" applyFill="1" applyBorder="1" applyAlignment="1">
      <x:alignment vertical="center"/>
    </x:xf>
    <x:xf numFmtId="203" fontId="2" fillId="3" borderId="11" xfId="0" applyNumberFormat="1" applyFont="1" applyFill="1" applyBorder="1" applyAlignment="1">
      <x:alignment vertical="center"/>
    </x:xf>
    <x:xf numFmtId="203" fontId="2" fillId="3" borderId="12" xfId="0" applyNumberFormat="1" applyFont="1" applyFill="1" applyBorder="1" applyAlignment="1">
      <x:alignment vertical="center"/>
    </x:xf>
    <x:xf numFmtId="203" fontId="2" fillId="3" borderId="1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14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5" fillId="6" borderId="16" xfId="0" applyNumberFormat="1" applyFont="1" applyFill="1" applyBorder="1" applyAlignment="1">
      <x:alignment horizontal="center"/>
    </x:xf>
    <x:xf numFmtId="0" fontId="5" fillId="6" borderId="17" xfId="0" applyNumberFormat="1" applyFont="1" applyFill="1" applyBorder="1" applyAlignment="1">
      <x:alignment horizontal="center"/>
    </x:xf>
    <x:xf numFmtId="0" fontId="5" fillId="6" borderId="18" xfId="0" applyNumberFormat="1" applyFont="1" applyFill="1" applyBorder="1" applyAlignment="1">
      <x:alignment horizontal="center"/>
    </x:xf>
    <x:xf numFmtId="0" fontId="5" fillId="6" borderId="19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202" fontId="0" fillId="7" borderId="20" xfId="0" applyNumberFormat="1" applyFont="1" applyFill="1" applyBorder="1"/>
    <x:xf numFmtId="202" fontId="0" fillId="7" borderId="21" xfId="0" applyNumberFormat="1" applyFont="1" applyFill="1" applyBorder="1"/>
    <x:xf numFmtId="202" fontId="0" fillId="7" borderId="22" xfId="0" applyNumberFormat="1" applyFont="1" applyFill="1" applyBorder="1"/>
    <x:xf numFmtId="202" fontId="0" fillId="7" borderId="23" xfId="0" applyNumberFormat="1" applyFont="1" applyFill="1" applyBorder="1"/>
    <x:xf numFmtId="200" fontId="0" fillId="7" borderId="20" xfId="0" applyNumberFormat="1" applyFont="1" applyFill="1" applyBorder="1"/>
    <x:xf numFmtId="200" fontId="0" fillId="7" borderId="21" xfId="0" applyNumberFormat="1" applyFont="1" applyFill="1" applyBorder="1"/>
    <x:xf numFmtId="200" fontId="0" fillId="7" borderId="22" xfId="0" applyNumberFormat="1" applyFont="1" applyFill="1" applyBorder="1"/>
    <x:xf numFmtId="200" fontId="0" fillId="7" borderId="23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8" xfId="0" applyNumberFormat="1" applyFont="1" applyFill="1" applyBorder="1"/>
    <x:xf numFmtId="0" fontId="2" fillId="12" borderId="9" xfId="0" applyNumberFormat="1" applyFont="1" applyFill="1" applyBorder="1"/>
    <x:xf numFmtId="0" fontId="2" fillId="12" borderId="10" xfId="0" applyNumberFormat="1" applyFont="1" applyFill="1" applyBorder="1"/>
    <x:xf numFmtId="0" fontId="2" fillId="12" borderId="8" xfId="0" applyNumberFormat="1" applyFont="1" applyFill="1" applyBorder="1" applyAlignment="1">
      <x:alignment vertical="center"/>
    </x:xf>
    <x:xf numFmtId="0" fontId="2" fillId="12" borderId="9" xfId="0" applyNumberFormat="1" applyFont="1" applyFill="1" applyBorder="1" applyAlignment="1">
      <x:alignment vertical="center"/>
    </x:xf>
    <x:xf numFmtId="0" fontId="2" fillId="12" borderId="10" xfId="0" applyNumberFormat="1" applyFont="1" applyFill="1" applyBorder="1" applyAlignment="1">
      <x:alignment vertical="center"/>
    </x:xf>
    <x:xf numFmtId="0" fontId="2" fillId="13" borderId="8" xfId="0" applyNumberFormat="1" applyFont="1" applyFill="1" applyBorder="1" applyAlignment="1">
      <x:alignment vertical="center"/>
    </x:xf>
    <x:xf numFmtId="0" fontId="2" fillId="13" borderId="9" xfId="0" applyNumberFormat="1" applyFont="1" applyFill="1" applyBorder="1" applyAlignment="1">
      <x:alignment vertical="center"/>
    </x:xf>
    <x:xf numFmtId="0" fontId="2" fillId="13" borderId="10" xfId="0" applyNumberFormat="1" applyFont="1" applyFill="1" applyBorder="1" applyAlignment="1">
      <x:alignment vertical="center"/>
    </x:xf>
    <x:xf numFmtId="0" fontId="6" fillId="13" borderId="8" xfId="0" applyNumberFormat="1" applyFont="1" applyFill="1" applyBorder="1" applyAlignment="1">
      <x:alignment vertical="center"/>
    </x:xf>
    <x:xf numFmtId="0" fontId="6" fillId="13" borderId="9" xfId="0" applyNumberFormat="1" applyFont="1" applyFill="1" applyBorder="1" applyAlignment="1">
      <x:alignment vertical="center"/>
    </x:xf>
    <x:xf numFmtId="0" fontId="6" fillId="13" borderId="10" xfId="0" applyNumberFormat="1" applyFont="1" applyFill="1" applyBorder="1" applyAlignment="1">
      <x:alignment vertical="center"/>
    </x:xf>
    <x:xf numFmtId="0" fontId="2" fillId="9" borderId="8" xfId="0" applyNumberFormat="1" applyFont="1" applyFill="1" applyBorder="1" applyAlignment="1">
      <x:alignment vertical="center"/>
    </x:xf>
    <x:xf numFmtId="0" fontId="2" fillId="9" borderId="9" xfId="0" applyNumberFormat="1" applyFont="1" applyFill="1" applyBorder="1" applyAlignment="1">
      <x:alignment vertical="center"/>
    </x:xf>
    <x:xf numFmtId="0" fontId="2" fillId="9" borderId="10" xfId="0" applyNumberFormat="1" applyFont="1" applyFill="1" applyBorder="1" applyAlignment="1">
      <x:alignment vertical="center"/>
    </x:xf>
    <x:xf numFmtId="0" fontId="7" fillId="9" borderId="8" xfId="0" applyNumberFormat="1" applyFont="1" applyFill="1" applyBorder="1" applyAlignment="1">
      <x:alignment vertical="center"/>
    </x:xf>
    <x:xf numFmtId="0" fontId="7" fillId="9" borderId="9" xfId="0" applyNumberFormat="1" applyFont="1" applyFill="1" applyBorder="1" applyAlignment="1">
      <x:alignment vertical="center"/>
    </x:xf>
    <x:xf numFmtId="0" fontId="7" fillId="9" borderId="10" xfId="0" applyNumberFormat="1" applyFont="1" applyFill="1" applyBorder="1" applyAlignment="1">
      <x:alignment vertical="center"/>
    </x:xf>
    <x:xf numFmtId="201" fontId="2" fillId="12" borderId="8" xfId="0" applyNumberFormat="1" applyFont="1" applyFill="1" applyBorder="1" applyAlignment="1">
      <x:alignment vertical="center"/>
    </x:xf>
    <x:xf numFmtId="201" fontId="2" fillId="12" borderId="9" xfId="0" applyNumberFormat="1" applyFont="1" applyFill="1" applyBorder="1" applyAlignment="1">
      <x:alignment vertical="center"/>
    </x:xf>
    <x:xf numFmtId="201" fontId="2" fillId="12" borderId="10" xfId="0" applyNumberFormat="1" applyFont="1" applyFill="1" applyBorder="1" applyAlignment="1">
      <x:alignment vertical="center"/>
    </x:xf>
    <x:xf numFmtId="0" fontId="2" fillId="12" borderId="8" xfId="0" applyNumberFormat="1" applyFont="1" applyFill="1" applyBorder="1" applyAlignment="1">
      <x:alignment vertical="center" wrapText="1"/>
    </x:xf>
    <x:xf numFmtId="201" fontId="2" fillId="12" borderId="8" xfId="0" applyNumberFormat="1" applyFont="1" applyFill="1" applyBorder="1" applyAlignment="1">
      <x:alignment vertical="center" wrapText="1"/>
    </x:xf>
    <x:xf numFmtId="0" fontId="2" fillId="12" borderId="9" xfId="0" applyNumberFormat="1" applyFont="1" applyFill="1" applyBorder="1" applyAlignment="1">
      <x:alignment vertical="center" wrapText="1"/>
    </x:xf>
    <x:xf numFmtId="201" fontId="2" fillId="12" borderId="9" xfId="0" applyNumberFormat="1" applyFont="1" applyFill="1" applyBorder="1" applyAlignment="1">
      <x:alignment vertical="center" wrapText="1"/>
    </x:xf>
    <x:xf numFmtId="0" fontId="2" fillId="12" borderId="10" xfId="0" applyNumberFormat="1" applyFont="1" applyFill="1" applyBorder="1" applyAlignment="1">
      <x:alignment vertical="center" wrapText="1"/>
    </x:xf>
    <x:xf numFmtId="201" fontId="2" fillId="12" borderId="10" xfId="0" applyNumberFormat="1" applyFont="1" applyFill="1" applyBorder="1" applyAlignment="1">
      <x:alignment vertical="center" wrapText="1"/>
    </x:xf>
    <x:xf numFmtId="203" fontId="2" fillId="3" borderId="8" xfId="0" applyNumberFormat="1" applyFont="1" applyFill="1" applyBorder="1" applyAlignment="1">
      <x:alignment vertical="center" wrapText="1"/>
    </x:xf>
    <x:xf numFmtId="203" fontId="2" fillId="3" borderId="9" xfId="0" applyNumberFormat="1" applyFont="1" applyFill="1" applyBorder="1" applyAlignment="1">
      <x:alignment vertical="center" wrapText="1"/>
    </x:xf>
    <x:xf numFmtId="203" fontId="2" fillId="3" borderId="10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0"/>
    </x:xf>
    <x:xf numFmtId="0" fontId="2" fillId="3" borderId="9" xfId="0" applyNumberFormat="1" applyFont="1" applyFill="1" applyBorder="1" applyAlignment="1">
      <x:alignment vertical="center" wrapText="0"/>
    </x:xf>
    <x:xf numFmtId="0" fontId="2" fillId="3" borderId="10" xfId="0" applyNumberFormat="1" applyFont="1" applyFill="1" applyBorder="1" applyAlignment="1">
      <x:alignment vertical="center" wrapText="0"/>
    </x:xf>
    <x:xf numFmtId="0" fontId="4" fillId="14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8" xfId="0" applyNumberFormat="1" applyFont="1" applyFill="1" applyBorder="1"/>
    <x:xf numFmtId="0" fontId="2" fillId="17" borderId="9" xfId="0" applyNumberFormat="1" applyFont="1" applyFill="1" applyBorder="1"/>
    <x:xf numFmtId="0" fontId="2" fillId="17" borderId="10" xfId="0" applyNumberFormat="1" applyFont="1" applyFill="1" applyBorder="1"/>
    <x:xf numFmtId="0" fontId="2" fillId="17" borderId="8" xfId="0" applyNumberFormat="1" applyFont="1" applyFill="1" applyBorder="1" applyAlignment="1">
      <x:alignment vertical="center"/>
    </x:xf>
    <x:xf numFmtId="0" fontId="2" fillId="17" borderId="9" xfId="0" applyNumberFormat="1" applyFont="1" applyFill="1" applyBorder="1" applyAlignment="1">
      <x:alignment vertical="center"/>
    </x:xf>
    <x:xf numFmtId="0" fontId="2" fillId="17" borderId="10" xfId="0" applyNumberFormat="1" applyFont="1" applyFill="1" applyBorder="1" applyAlignment="1">
      <x:alignment vertical="center"/>
    </x:xf>
    <x:xf numFmtId="0" fontId="2" fillId="18" borderId="8" xfId="0" applyNumberFormat="1" applyFont="1" applyFill="1" applyBorder="1" applyAlignment="1">
      <x:alignment vertical="center"/>
    </x:xf>
    <x:xf numFmtId="0" fontId="2" fillId="18" borderId="9" xfId="0" applyNumberFormat="1" applyFont="1" applyFill="1" applyBorder="1" applyAlignment="1">
      <x:alignment vertical="center"/>
    </x:xf>
    <x:xf numFmtId="0" fontId="2" fillId="18" borderId="10" xfId="0" applyNumberFormat="1" applyFont="1" applyFill="1" applyBorder="1" applyAlignment="1">
      <x:alignment vertical="center"/>
    </x:xf>
    <x:xf numFmtId="0" fontId="6" fillId="18" borderId="8" xfId="0" applyNumberFormat="1" applyFont="1" applyFill="1" applyBorder="1" applyAlignment="1">
      <x:alignment vertical="center"/>
    </x:xf>
    <x:xf numFmtId="0" fontId="6" fillId="18" borderId="9" xfId="0" applyNumberFormat="1" applyFont="1" applyFill="1" applyBorder="1" applyAlignment="1">
      <x:alignment vertical="center"/>
    </x:xf>
    <x:xf numFmtId="0" fontId="6" fillId="18" borderId="10" xfId="0" applyNumberFormat="1" applyFont="1" applyFill="1" applyBorder="1" applyAlignment="1">
      <x:alignment vertical="center"/>
    </x:xf>
    <x:xf numFmtId="0" fontId="2" fillId="14" borderId="8" xfId="0" applyNumberFormat="1" applyFont="1" applyFill="1" applyBorder="1" applyAlignment="1">
      <x:alignment vertical="center"/>
    </x:xf>
    <x:xf numFmtId="0" fontId="2" fillId="14" borderId="9" xfId="0" applyNumberFormat="1" applyFont="1" applyFill="1" applyBorder="1" applyAlignment="1">
      <x:alignment vertical="center"/>
    </x:xf>
    <x:xf numFmtId="0" fontId="2" fillId="14" borderId="10" xfId="0" applyNumberFormat="1" applyFont="1" applyFill="1" applyBorder="1" applyAlignment="1">
      <x:alignment vertical="center"/>
    </x:xf>
    <x:xf numFmtId="0" fontId="7" fillId="14" borderId="8" xfId="0" applyNumberFormat="1" applyFont="1" applyFill="1" applyBorder="1" applyAlignment="1">
      <x:alignment vertical="center"/>
    </x:xf>
    <x:xf numFmtId="0" fontId="7" fillId="14" borderId="9" xfId="0" applyNumberFormat="1" applyFont="1" applyFill="1" applyBorder="1" applyAlignment="1">
      <x:alignment vertical="center"/>
    </x:xf>
    <x:xf numFmtId="0" fontId="7" fillId="14" borderId="10" xfId="0" applyNumberFormat="1" applyFont="1" applyFill="1" applyBorder="1" applyAlignment="1">
      <x:alignment vertical="center"/>
    </x:xf>
    <x:xf numFmtId="201" fontId="2" fillId="17" borderId="8" xfId="0" applyNumberFormat="1" applyFont="1" applyFill="1" applyBorder="1" applyAlignment="1">
      <x:alignment vertical="center"/>
    </x:xf>
    <x:xf numFmtId="201" fontId="2" fillId="17" borderId="9" xfId="0" applyNumberFormat="1" applyFont="1" applyFill="1" applyBorder="1" applyAlignment="1">
      <x:alignment vertical="center"/>
    </x:xf>
    <x:xf numFmtId="201" fontId="2" fillId="17" borderId="10" xfId="0" applyNumberFormat="1" applyFont="1" applyFill="1" applyBorder="1" applyAlignment="1">
      <x:alignment vertical="center"/>
    </x:xf>
    <x:xf numFmtId="0" fontId="2" fillId="17" borderId="8" xfId="0" applyNumberFormat="1" applyFont="1" applyFill="1" applyBorder="1" applyAlignment="1">
      <x:alignment vertical="center" wrapText="1"/>
    </x:xf>
    <x:xf numFmtId="201" fontId="2" fillId="17" borderId="8" xfId="0" applyNumberFormat="1" applyFont="1" applyFill="1" applyBorder="1" applyAlignment="1">
      <x:alignment vertical="center" wrapText="1"/>
    </x:xf>
    <x:xf numFmtId="0" fontId="2" fillId="17" borderId="9" xfId="0" applyNumberFormat="1" applyFont="1" applyFill="1" applyBorder="1" applyAlignment="1">
      <x:alignment vertical="center" wrapText="1"/>
    </x:xf>
    <x:xf numFmtId="201" fontId="2" fillId="17" borderId="9" xfId="0" applyNumberFormat="1" applyFont="1" applyFill="1" applyBorder="1" applyAlignment="1">
      <x:alignment vertical="center" wrapText="1"/>
    </x:xf>
    <x:xf numFmtId="0" fontId="2" fillId="17" borderId="10" xfId="0" applyNumberFormat="1" applyFont="1" applyFill="1" applyBorder="1" applyAlignment="1">
      <x:alignment vertical="center" wrapText="1"/>
    </x:xf>
    <x:xf numFmtId="201" fontId="2" fillId="17" borderId="10" xfId="0" applyNumberFormat="1" applyFont="1" applyFill="1" applyBorder="1" applyAlignment="1">
      <x:alignment vertical="center" wrapText="1"/>
    </x:xf>
    <x:xf numFmtId="0" fontId="2" fillId="17" borderId="8" xfId="0" applyNumberFormat="1" applyFont="1" applyFill="1" applyBorder="1" applyAlignment="1">
      <x:alignment vertical="center" wrapText="0"/>
    </x:xf>
    <x:xf numFmtId="0" fontId="2" fillId="17" borderId="9" xfId="0" applyNumberFormat="1" applyFont="1" applyFill="1" applyBorder="1" applyAlignment="1">
      <x:alignment vertical="center" wrapText="0"/>
    </x:xf>
    <x:xf numFmtId="0" fontId="2" fillId="17" borderId="10" xfId="0" applyNumberFormat="1" applyFont="1" applyFill="1" applyBorder="1" applyAlignment="1">
      <x:alignment vertical="center" wrapText="0"/>
    </x:xf>
    <x:xf numFmtId="0" fontId="4" fillId="19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8" xfId="0" applyNumberFormat="1" applyFont="1" applyFill="1" applyBorder="1"/>
    <x:xf numFmtId="0" fontId="2" fillId="22" borderId="9" xfId="0" applyNumberFormat="1" applyFont="1" applyFill="1" applyBorder="1"/>
    <x:xf numFmtId="0" fontId="2" fillId="22" borderId="10" xfId="0" applyNumberFormat="1" applyFont="1" applyFill="1" applyBorder="1"/>
    <x:xf numFmtId="0" fontId="2" fillId="22" borderId="8" xfId="0" applyNumberFormat="1" applyFont="1" applyFill="1" applyBorder="1" applyAlignment="1">
      <x:alignment vertical="center"/>
    </x:xf>
    <x:xf numFmtId="0" fontId="2" fillId="22" borderId="9" xfId="0" applyNumberFormat="1" applyFont="1" applyFill="1" applyBorder="1" applyAlignment="1">
      <x:alignment vertical="center"/>
    </x:xf>
    <x:xf numFmtId="0" fontId="2" fillId="22" borderId="10" xfId="0" applyNumberFormat="1" applyFont="1" applyFill="1" applyBorder="1" applyAlignment="1">
      <x:alignment vertical="center"/>
    </x:xf>
    <x:xf numFmtId="0" fontId="2" fillId="23" borderId="8" xfId="0" applyNumberFormat="1" applyFont="1" applyFill="1" applyBorder="1" applyAlignment="1">
      <x:alignment vertical="center"/>
    </x:xf>
    <x:xf numFmtId="0" fontId="2" fillId="23" borderId="9" xfId="0" applyNumberFormat="1" applyFont="1" applyFill="1" applyBorder="1" applyAlignment="1">
      <x:alignment vertical="center"/>
    </x:xf>
    <x:xf numFmtId="0" fontId="2" fillId="23" borderId="10" xfId="0" applyNumberFormat="1" applyFont="1" applyFill="1" applyBorder="1" applyAlignment="1">
      <x:alignment vertical="center"/>
    </x:xf>
    <x:xf numFmtId="0" fontId="6" fillId="23" borderId="8" xfId="0" applyNumberFormat="1" applyFont="1" applyFill="1" applyBorder="1" applyAlignment="1">
      <x:alignment vertical="center"/>
    </x:xf>
    <x:xf numFmtId="0" fontId="6" fillId="23" borderId="9" xfId="0" applyNumberFormat="1" applyFont="1" applyFill="1" applyBorder="1" applyAlignment="1">
      <x:alignment vertical="center"/>
    </x:xf>
    <x:xf numFmtId="0" fontId="6" fillId="23" borderId="10" xfId="0" applyNumberFormat="1" applyFont="1" applyFill="1" applyBorder="1" applyAlignment="1">
      <x:alignment vertical="center"/>
    </x:xf>
    <x:xf numFmtId="0" fontId="2" fillId="19" borderId="8" xfId="0" applyNumberFormat="1" applyFont="1" applyFill="1" applyBorder="1" applyAlignment="1">
      <x:alignment vertical="center"/>
    </x:xf>
    <x:xf numFmtId="0" fontId="2" fillId="19" borderId="9" xfId="0" applyNumberFormat="1" applyFont="1" applyFill="1" applyBorder="1" applyAlignment="1">
      <x:alignment vertical="center"/>
    </x:xf>
    <x:xf numFmtId="0" fontId="2" fillId="19" borderId="10" xfId="0" applyNumberFormat="1" applyFont="1" applyFill="1" applyBorder="1" applyAlignment="1">
      <x:alignment vertical="center"/>
    </x:xf>
    <x:xf numFmtId="0" fontId="7" fillId="19" borderId="8" xfId="0" applyNumberFormat="1" applyFont="1" applyFill="1" applyBorder="1" applyAlignment="1">
      <x:alignment vertical="center"/>
    </x:xf>
    <x:xf numFmtId="0" fontId="7" fillId="19" borderId="9" xfId="0" applyNumberFormat="1" applyFont="1" applyFill="1" applyBorder="1" applyAlignment="1">
      <x:alignment vertical="center"/>
    </x:xf>
    <x:xf numFmtId="0" fontId="7" fillId="19" borderId="10" xfId="0" applyNumberFormat="1" applyFont="1" applyFill="1" applyBorder="1" applyAlignment="1">
      <x:alignment vertical="center"/>
    </x:xf>
    <x:xf numFmtId="201" fontId="2" fillId="22" borderId="8" xfId="0" applyNumberFormat="1" applyFont="1" applyFill="1" applyBorder="1" applyAlignment="1">
      <x:alignment vertical="center"/>
    </x:xf>
    <x:xf numFmtId="201" fontId="2" fillId="22" borderId="9" xfId="0" applyNumberFormat="1" applyFont="1" applyFill="1" applyBorder="1" applyAlignment="1">
      <x:alignment vertical="center"/>
    </x:xf>
    <x:xf numFmtId="201" fontId="2" fillId="22" borderId="10" xfId="0" applyNumberFormat="1" applyFont="1" applyFill="1" applyBorder="1" applyAlignment="1">
      <x:alignment vertical="center"/>
    </x:xf>
    <x:xf numFmtId="0" fontId="2" fillId="22" borderId="8" xfId="0" applyNumberFormat="1" applyFont="1" applyFill="1" applyBorder="1" applyAlignment="1">
      <x:alignment vertical="center" wrapText="1"/>
    </x:xf>
    <x:xf numFmtId="201" fontId="2" fillId="22" borderId="8" xfId="0" applyNumberFormat="1" applyFont="1" applyFill="1" applyBorder="1" applyAlignment="1">
      <x:alignment vertical="center" wrapText="1"/>
    </x:xf>
    <x:xf numFmtId="0" fontId="2" fillId="22" borderId="9" xfId="0" applyNumberFormat="1" applyFont="1" applyFill="1" applyBorder="1" applyAlignment="1">
      <x:alignment vertical="center" wrapText="1"/>
    </x:xf>
    <x:xf numFmtId="201" fontId="2" fillId="22" borderId="9" xfId="0" applyNumberFormat="1" applyFont="1" applyFill="1" applyBorder="1" applyAlignment="1">
      <x:alignment vertical="center" wrapText="1"/>
    </x:xf>
    <x:xf numFmtId="0" fontId="2" fillId="22" borderId="10" xfId="0" applyNumberFormat="1" applyFont="1" applyFill="1" applyBorder="1" applyAlignment="1">
      <x:alignment vertical="center" wrapText="1"/>
    </x:xf>
    <x:xf numFmtId="201" fontId="2" fillId="22" borderId="10" xfId="0" applyNumberFormat="1" applyFont="1" applyFill="1" applyBorder="1" applyAlignment="1">
      <x:alignment vertical="center" wrapText="1"/>
    </x:xf>
    <x:xf numFmtId="0" fontId="2" fillId="22" borderId="8" xfId="0" applyNumberFormat="1" applyFont="1" applyFill="1" applyBorder="1" applyAlignment="1">
      <x:alignment vertical="center" wrapText="0"/>
    </x:xf>
    <x:xf numFmtId="0" fontId="2" fillId="22" borderId="9" xfId="0" applyNumberFormat="1" applyFont="1" applyFill="1" applyBorder="1" applyAlignment="1">
      <x:alignment vertical="center" wrapText="0"/>
    </x:xf>
    <x:xf numFmtId="0" fontId="2" fillId="22" borderId="1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3ba984d264953" /><Relationship Type="http://schemas.openxmlformats.org/officeDocument/2006/relationships/theme" Target="/xl/theme/theme1.xml" Id="R1dd1cf4760c846b0" /><Relationship Type="http://schemas.openxmlformats.org/officeDocument/2006/relationships/sharedStrings" Target="/xl/sharedStrings.xml" Id="R40a4f66b58e84710" /><Relationship Type="http://schemas.openxmlformats.org/officeDocument/2006/relationships/worksheet" Target="/xl/worksheets/sheet1.xml" Id="Re9911911d1ab44dc" /><Relationship Type="http://schemas.openxmlformats.org/officeDocument/2006/relationships/worksheet" Target="/xl/worksheets/sheet2.xml" Id="R49d67cd1fd9d4359" /><Relationship Type="http://schemas.openxmlformats.org/officeDocument/2006/relationships/worksheet" Target="/xl/worksheets/sheet3.xml" Id="Rcf37d468ef0944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36" hidden="0" customWidth="1"/>
    <x:col min="5" max="5" width="15" hidden="0" customWidth="1"/>
    <x:col min="6" max="6" width="9" hidden="0" customWidth="1"/>
    <x:col min="7" max="7" width="38" hidden="0" customWidth="1"/>
    <x:col min="8" max="8" width="70" hidden="0" customWidth="1"/>
    <x:col min="9" max="9" width="14" hidden="0" customWidth="1"/>
    <x:col min="10" max="10" width="13" hidden="0" customWidth="1"/>
    <x:col min="11" max="11" width="18" hidden="0" customWidth="1"/>
    <x:col min="12" max="12" width="18" hidden="0" customWidth="1"/>
    <x:col min="13" max="13" width="10" hidden="0" customWidth="1"/>
    <x:col min="14" max="14" width="10" hidden="0" customWidth="1"/>
    <x:col min="15" max="15" width="10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4" hidden="0" customWidth="1"/>
    <x:col min="26" max="26" width="14" hidden="0" customWidth="1"/>
    <x:col min="27" max="27" width="13" hidden="0" customWidth="1"/>
    <x:col min="28" max="28" width="13" hidden="0" customWidth="1"/>
    <x:col min="29" max="29" width="22" hidden="0" customWidth="1"/>
  </x:cols>
  <x:sheetData>
    <x:row r="1" ht="36" customHeight="1">
      <x:c r="A1" s="24" t="str">
        <x:v>版本</x:v>
      </x:c>
      <x:c r="B1" s="25" t="str">
        <x:v>Git提交</x:v>
      </x:c>
      <x:c r="C1" s="25" t="str">
        <x:v>设备</x:v>
      </x:c>
      <x:c r="D1" s="25" t="str">
        <x:v>Android与OS</x:v>
      </x:c>
      <x:c r="E1" s="25" t="str">
        <x:v>构建类型</x:v>
      </x:c>
      <x:c r="F1" s="25" t="str">
        <x:v>图片ID</x:v>
      </x:c>
      <x:c r="G1" s="25" t="str">
        <x:v>文件名</x:v>
      </x:c>
      <x:c r="H1" s="25" t="str">
        <x:v>SHA256</x:v>
      </x:c>
      <x:c r="I1" s="25" t="str">
        <x:v>分辨率</x:v>
      </x:c>
      <x:c r="J1" s="25" t="str">
        <x:v>像素数</x:v>
      </x:c>
      <x:c r="K1" s="25" t="str">
        <x:v>方案</x:v>
      </x:c>
      <x:c r="L1" s="25" t="str">
        <x:v>执行引擎</x:v>
      </x:c>
      <x:c r="M1" s="25" t="str">
        <x:v>线程数</x:v>
      </x:c>
      <x:c r="N1" s="25" t="str">
        <x:v>记录类型</x:v>
      </x:c>
      <x:c r="O1" s="25" t="str">
        <x:v>序号</x:v>
      </x:c>
      <x:c r="P1" s="25" t="str">
        <x:v>解码ms</x:v>
      </x:c>
      <x:c r="Q1" s="25" t="str">
        <x:v>像素访问ms</x:v>
      </x:c>
      <x:c r="R1" s="25" t="str">
        <x:v>灰度转换ms</x:v>
      </x:c>
      <x:c r="S1" s="25" t="str">
        <x:v>统计或融合ms</x:v>
      </x:c>
      <x:c r="T1" s="25" t="str">
        <x:v>归一化ms</x:v>
      </x:c>
      <x:c r="U1" s="25" t="str">
        <x:v>其他开销ms</x:v>
      </x:c>
      <x:c r="V1" s="25" t="str">
        <x:v>合并ms</x:v>
      </x:c>
      <x:c r="W1" s="25" t="str">
        <x:v>核心总计ms</x:v>
      </x:c>
      <x:c r="X1" s="25" t="str">
        <x:v>最高频次</x:v>
      </x:c>
      <x:c r="Y1" s="25" t="str">
        <x:v>质量结论</x:v>
      </x:c>
      <x:c r="Z1" s="25" t="str">
        <x:v>两方案一致</x:v>
      </x:c>
      <x:c r="AA1" s="25" t="str">
        <x:v>电量百分比</x:v>
      </x:c>
      <x:c r="AB1" s="25" t="str">
        <x:v>温度摄氏度</x:v>
      </x:c>
      <x:c r="AC1" s="26" t="str">
        <x:v>备注</x:v>
      </x:c>
    </x:row>
    <x:row r="2" ht="24" customHeight="1">
      <x:c r="A2" s="175" t="str">
        <x:v>3.0</x:v>
      </x:c>
      <x:c r="B2" s="46" t="str">
        <x:v>2b56d94</x:v>
      </x:c>
      <x:c r="C2" s="46" t="str">
        <x:v>Xiaomi 14</x:v>
      </x:c>
      <x:c r="D2" s="178" t="str">
        <x:v>Android 16 - HyperOS 3.0.303.0.WNCCNXM.C09</x:v>
      </x:c>
      <x:c r="E2" s="178" t="str">
        <x:v>Debug</x:v>
      </x:c>
      <x:c r="F2" s="178" t="str">
        <x:v>L1</x:v>
      </x:c>
      <x:c r="G2" s="178" t="str">
        <x:v>09_performance_gradient_3072x4096.png</x:v>
      </x:c>
      <x:c r="H2" s="178" t="str">
        <x:v>783198e25198cb7fabb18db9f690224bb4402fcb27737f46c81c1b11a2f5daec</x:v>
      </x:c>
      <x:c r="I2" s="46" t="str">
        <x:v>3072x4096</x:v>
      </x:c>
      <x:c r="J2" s="58" t="str">
        <x:v>12582912</x:v>
      </x:c>
      <x:c r="K2" s="46" t="str">
        <x:v>优先灰度化</x:v>
      </x:c>
      <x:c r="L2" s="46" t="str">
        <x:v>Native多线程v3.0</x:v>
      </x:c>
      <x:c r="M2" s="64" t="str">
        <x:v>8</x:v>
      </x:c>
      <x:c r="N2" s="64" t="str">
        <x:v>正式</x:v>
      </x:c>
      <x:c r="O2" s="64" t="str">
        <x:v>1</x:v>
      </x:c>
      <x:c r="P2" s="52" t="str"/>
      <x:c r="Q2" s="52" t="str"/>
      <x:c r="R2" s="52" t="str"/>
      <x:c r="S2" s="52" t="str"/>
      <x:c r="T2" s="52" t="str"/>
      <x:c r="U2" s="52" t="str"/>
      <x:c r="V2" s="52" t="str"/>
      <x:c r="W2" s="52" t="str"/>
      <x:c r="X2" s="70" t="str">
        <x:v>75787</x:v>
      </x:c>
      <x:c r="Y2" s="40" t="str">
        <x:v>正常</x:v>
      </x:c>
      <x:c r="Z2" s="40" t="str">
        <x:v>待确认</x:v>
      </x:c>
      <x:c r="AA2" s="76" t="str"/>
      <x:c r="AB2" s="82" t="str"/>
      <x:c r="AC2" s="40" t="str"/>
    </x:row>
    <x:row r="3" ht="24" customHeight="1">
      <x:c r="A3" s="176" t="str">
        <x:v>3.0</x:v>
      </x:c>
      <x:c r="B3" s="47" t="str">
        <x:v>2b56d94</x:v>
      </x:c>
      <x:c r="C3" s="47" t="str">
        <x:v>Xiaomi 14</x:v>
      </x:c>
      <x:c r="D3" s="179" t="str">
        <x:v>Android 16 - HyperOS 3.0.303.0.WNCCNXM.C09</x:v>
      </x:c>
      <x:c r="E3" s="179" t="str">
        <x:v>Debug</x:v>
      </x:c>
      <x:c r="F3" s="179" t="str">
        <x:v>L1</x:v>
      </x:c>
      <x:c r="G3" s="179" t="str">
        <x:v>09_performance_gradient_3072x4096.png</x:v>
      </x:c>
      <x:c r="H3" s="179" t="str">
        <x:v>783198e25198cb7fabb18db9f690224bb4402fcb27737f46c81c1b11a2f5daec</x:v>
      </x:c>
      <x:c r="I3" s="47" t="str">
        <x:v>3072x4096</x:v>
      </x:c>
      <x:c r="J3" s="59" t="str">
        <x:v>12582912</x:v>
      </x:c>
      <x:c r="K3" s="47" t="str">
        <x:v>优先灰度化</x:v>
      </x:c>
      <x:c r="L3" s="47" t="str">
        <x:v>Native多线程v3.0</x:v>
      </x:c>
      <x:c r="M3" s="65" t="str">
        <x:v>8</x:v>
      </x:c>
      <x:c r="N3" s="65" t="str">
        <x:v>正式</x:v>
      </x:c>
      <x:c r="O3" s="65" t="str">
        <x:v>2</x:v>
      </x:c>
      <x:c r="P3" s="53" t="str"/>
      <x:c r="Q3" s="53" t="str"/>
      <x:c r="R3" s="53" t="str"/>
      <x:c r="S3" s="53" t="str"/>
      <x:c r="T3" s="53" t="str"/>
      <x:c r="U3" s="53" t="str"/>
      <x:c r="V3" s="53" t="str"/>
      <x:c r="W3" s="53" t="str"/>
      <x:c r="X3" s="71" t="str">
        <x:v>75787</x:v>
      </x:c>
      <x:c r="Y3" s="41" t="str">
        <x:v>正常</x:v>
      </x:c>
      <x:c r="Z3" s="41" t="str">
        <x:v>待确认</x:v>
      </x:c>
      <x:c r="AA3" s="77" t="str"/>
      <x:c r="AB3" s="83" t="str"/>
      <x:c r="AC3" s="41" t="str"/>
    </x:row>
    <x:row r="4" ht="24" customHeight="1">
      <x:c r="A4" s="176" t="str">
        <x:v>3.0</x:v>
      </x:c>
      <x:c r="B4" s="47" t="str">
        <x:v>2b56d94</x:v>
      </x:c>
      <x:c r="C4" s="47" t="str">
        <x:v>Xiaomi 14</x:v>
      </x:c>
      <x:c r="D4" s="179" t="str">
        <x:v>Android 16 - HyperOS 3.0.303.0.WNCCNXM.C09</x:v>
      </x:c>
      <x:c r="E4" s="179" t="str">
        <x:v>Debug</x:v>
      </x:c>
      <x:c r="F4" s="179" t="str">
        <x:v>L1</x:v>
      </x:c>
      <x:c r="G4" s="179" t="str">
        <x:v>09_performance_gradient_3072x4096.png</x:v>
      </x:c>
      <x:c r="H4" s="179" t="str">
        <x:v>783198e25198cb7fabb18db9f690224bb4402fcb27737f46c81c1b11a2f5daec</x:v>
      </x:c>
      <x:c r="I4" s="47" t="str">
        <x:v>3072x4096</x:v>
      </x:c>
      <x:c r="J4" s="59" t="str">
        <x:v>12582912</x:v>
      </x:c>
      <x:c r="K4" s="47" t="str">
        <x:v>优先灰度化</x:v>
      </x:c>
      <x:c r="L4" s="47" t="str">
        <x:v>Native多线程v3.0</x:v>
      </x:c>
      <x:c r="M4" s="65" t="str">
        <x:v>8</x:v>
      </x:c>
      <x:c r="N4" s="65" t="str">
        <x:v>正式</x:v>
      </x:c>
      <x:c r="O4" s="65" t="str">
        <x:v>3</x:v>
      </x:c>
      <x:c r="P4" s="53" t="str"/>
      <x:c r="Q4" s="53" t="str"/>
      <x:c r="R4" s="53" t="str"/>
      <x:c r="S4" s="53" t="str"/>
      <x:c r="T4" s="53" t="str"/>
      <x:c r="U4" s="53" t="str"/>
      <x:c r="V4" s="53" t="str"/>
      <x:c r="W4" s="53" t="str"/>
      <x:c r="X4" s="71" t="str">
        <x:v>75787</x:v>
      </x:c>
      <x:c r="Y4" s="41" t="str">
        <x:v>正常</x:v>
      </x:c>
      <x:c r="Z4" s="41" t="str">
        <x:v>待确认</x:v>
      </x:c>
      <x:c r="AA4" s="77" t="str"/>
      <x:c r="AB4" s="83" t="str"/>
      <x:c r="AC4" s="41" t="str"/>
    </x:row>
    <x:row r="5" ht="24" customHeight="1">
      <x:c r="A5" s="176" t="str">
        <x:v>3.0</x:v>
      </x:c>
      <x:c r="B5" s="47" t="str">
        <x:v>2b56d94</x:v>
      </x:c>
      <x:c r="C5" s="47" t="str">
        <x:v>Xiaomi 14</x:v>
      </x:c>
      <x:c r="D5" s="179" t="str">
        <x:v>Android 16 - HyperOS 3.0.303.0.WNCCNXM.C09</x:v>
      </x:c>
      <x:c r="E5" s="179" t="str">
        <x:v>Debug</x:v>
      </x:c>
      <x:c r="F5" s="179" t="str">
        <x:v>L1</x:v>
      </x:c>
      <x:c r="G5" s="179" t="str">
        <x:v>09_performance_gradient_3072x4096.png</x:v>
      </x:c>
      <x:c r="H5" s="179" t="str">
        <x:v>783198e25198cb7fabb18db9f690224bb4402fcb27737f46c81c1b11a2f5daec</x:v>
      </x:c>
      <x:c r="I5" s="47" t="str">
        <x:v>3072x4096</x:v>
      </x:c>
      <x:c r="J5" s="59" t="str">
        <x:v>12582912</x:v>
      </x:c>
      <x:c r="K5" s="47" t="str">
        <x:v>优先灰度化</x:v>
      </x:c>
      <x:c r="L5" s="47" t="str">
        <x:v>Native多线程v3.0</x:v>
      </x:c>
      <x:c r="M5" s="65" t="str">
        <x:v>8</x:v>
      </x:c>
      <x:c r="N5" s="65" t="str">
        <x:v>正式</x:v>
      </x:c>
      <x:c r="O5" s="65" t="str">
        <x:v>4</x:v>
      </x:c>
      <x:c r="P5" s="53" t="str"/>
      <x:c r="Q5" s="53" t="str"/>
      <x:c r="R5" s="53" t="str"/>
      <x:c r="S5" s="53" t="str"/>
      <x:c r="T5" s="53" t="str"/>
      <x:c r="U5" s="53" t="str"/>
      <x:c r="V5" s="53" t="str"/>
      <x:c r="W5" s="53" t="str"/>
      <x:c r="X5" s="71" t="str">
        <x:v>75787</x:v>
      </x:c>
      <x:c r="Y5" s="41" t="str">
        <x:v>正常</x:v>
      </x:c>
      <x:c r="Z5" s="41" t="str">
        <x:v>待确认</x:v>
      </x:c>
      <x:c r="AA5" s="77" t="str"/>
      <x:c r="AB5" s="83" t="str"/>
      <x:c r="AC5" s="41" t="str"/>
    </x:row>
    <x:row r="6" ht="24" customHeight="1">
      <x:c r="A6" s="176" t="str">
        <x:v>3.0</x:v>
      </x:c>
      <x:c r="B6" s="47" t="str">
        <x:v>2b56d94</x:v>
      </x:c>
      <x:c r="C6" s="47" t="str">
        <x:v>Xiaomi 14</x:v>
      </x:c>
      <x:c r="D6" s="179" t="str">
        <x:v>Android 16 - HyperOS 3.0.303.0.WNCCNXM.C09</x:v>
      </x:c>
      <x:c r="E6" s="179" t="str">
        <x:v>Debug</x:v>
      </x:c>
      <x:c r="F6" s="179" t="str">
        <x:v>L1</x:v>
      </x:c>
      <x:c r="G6" s="179" t="str">
        <x:v>09_performance_gradient_3072x4096.png</x:v>
      </x:c>
      <x:c r="H6" s="179" t="str">
        <x:v>783198e25198cb7fabb18db9f690224bb4402fcb27737f46c81c1b11a2f5daec</x:v>
      </x:c>
      <x:c r="I6" s="47" t="str">
        <x:v>3072x4096</x:v>
      </x:c>
      <x:c r="J6" s="59" t="str">
        <x:v>12582912</x:v>
      </x:c>
      <x:c r="K6" s="47" t="str">
        <x:v>优先灰度化</x:v>
      </x:c>
      <x:c r="L6" s="47" t="str">
        <x:v>Native多线程v3.0</x:v>
      </x:c>
      <x:c r="M6" s="65" t="str">
        <x:v>8</x:v>
      </x:c>
      <x:c r="N6" s="65" t="str">
        <x:v>正式</x:v>
      </x:c>
      <x:c r="O6" s="65" t="str">
        <x:v>5</x:v>
      </x:c>
      <x:c r="P6" s="53" t="str"/>
      <x:c r="Q6" s="53" t="str"/>
      <x:c r="R6" s="53" t="str"/>
      <x:c r="S6" s="53" t="str"/>
      <x:c r="T6" s="53" t="str"/>
      <x:c r="U6" s="53" t="str"/>
      <x:c r="V6" s="53" t="str"/>
      <x:c r="W6" s="53" t="str"/>
      <x:c r="X6" s="71" t="str">
        <x:v>75787</x:v>
      </x:c>
      <x:c r="Y6" s="41" t="str">
        <x:v>正常</x:v>
      </x:c>
      <x:c r="Z6" s="41" t="str">
        <x:v>待确认</x:v>
      </x:c>
      <x:c r="AA6" s="77" t="str"/>
      <x:c r="AB6" s="83" t="str"/>
      <x:c r="AC6" s="41" t="str"/>
    </x:row>
    <x:row r="7" ht="24" customHeight="1">
      <x:c r="A7" s="176" t="str">
        <x:v>3.0</x:v>
      </x:c>
      <x:c r="B7" s="47" t="str">
        <x:v>2b56d94</x:v>
      </x:c>
      <x:c r="C7" s="47" t="str">
        <x:v>Xiaomi 14</x:v>
      </x:c>
      <x:c r="D7" s="179" t="str">
        <x:v>Android 16 - HyperOS 3.0.303.0.WNCCNXM.C09</x:v>
      </x:c>
      <x:c r="E7" s="179" t="str">
        <x:v>Debug</x:v>
      </x:c>
      <x:c r="F7" s="179" t="str">
        <x:v>L1</x:v>
      </x:c>
      <x:c r="G7" s="179" t="str">
        <x:v>09_performance_gradient_3072x4096.png</x:v>
      </x:c>
      <x:c r="H7" s="179" t="str">
        <x:v>783198e25198cb7fabb18db9f690224bb4402fcb27737f46c81c1b11a2f5daec</x:v>
      </x:c>
      <x:c r="I7" s="47" t="str">
        <x:v>3072x4096</x:v>
      </x:c>
      <x:c r="J7" s="59" t="str">
        <x:v>12582912</x:v>
      </x:c>
      <x:c r="K7" s="47" t="str">
        <x:v>优先灰度化</x:v>
      </x:c>
      <x:c r="L7" s="47" t="str">
        <x:v>Native多线程v3.0</x:v>
      </x:c>
      <x:c r="M7" s="65" t="str">
        <x:v>8</x:v>
      </x:c>
      <x:c r="N7" s="65" t="str">
        <x:v>正式</x:v>
      </x:c>
      <x:c r="O7" s="65" t="str">
        <x:v>6</x:v>
      </x:c>
      <x:c r="P7" s="53" t="str"/>
      <x:c r="Q7" s="53" t="str"/>
      <x:c r="R7" s="53" t="str"/>
      <x:c r="S7" s="53" t="str"/>
      <x:c r="T7" s="53" t="str"/>
      <x:c r="U7" s="53" t="str"/>
      <x:c r="V7" s="53" t="str"/>
      <x:c r="W7" s="53" t="str"/>
      <x:c r="X7" s="71" t="str">
        <x:v>75787</x:v>
      </x:c>
      <x:c r="Y7" s="41" t="str">
        <x:v>正常</x:v>
      </x:c>
      <x:c r="Z7" s="41" t="str">
        <x:v>待确认</x:v>
      </x:c>
      <x:c r="AA7" s="77" t="str"/>
      <x:c r="AB7" s="83" t="str"/>
      <x:c r="AC7" s="41" t="str"/>
    </x:row>
    <x:row r="8" ht="24" customHeight="1">
      <x:c r="A8" s="176" t="str">
        <x:v>3.0</x:v>
      </x:c>
      <x:c r="B8" s="47" t="str">
        <x:v>2b56d94</x:v>
      </x:c>
      <x:c r="C8" s="47" t="str">
        <x:v>Xiaomi 14</x:v>
      </x:c>
      <x:c r="D8" s="179" t="str">
        <x:v>Android 16 - HyperOS 3.0.303.0.WNCCNXM.C09</x:v>
      </x:c>
      <x:c r="E8" s="179" t="str">
        <x:v>Debug</x:v>
      </x:c>
      <x:c r="F8" s="179" t="str">
        <x:v>L1</x:v>
      </x:c>
      <x:c r="G8" s="179" t="str">
        <x:v>09_performance_gradient_3072x4096.png</x:v>
      </x:c>
      <x:c r="H8" s="179" t="str">
        <x:v>783198e25198cb7fabb18db9f690224bb4402fcb27737f46c81c1b11a2f5daec</x:v>
      </x:c>
      <x:c r="I8" s="47" t="str">
        <x:v>3072x4096</x:v>
      </x:c>
      <x:c r="J8" s="59" t="str">
        <x:v>12582912</x:v>
      </x:c>
      <x:c r="K8" s="47" t="str">
        <x:v>优先灰度化</x:v>
      </x:c>
      <x:c r="L8" s="47" t="str">
        <x:v>Native多线程v3.0</x:v>
      </x:c>
      <x:c r="M8" s="65" t="str">
        <x:v>8</x:v>
      </x:c>
      <x:c r="N8" s="65" t="str">
        <x:v>正式</x:v>
      </x:c>
      <x:c r="O8" s="65" t="str">
        <x:v>7</x:v>
      </x:c>
      <x:c r="P8" s="53" t="str"/>
      <x:c r="Q8" s="53" t="str"/>
      <x:c r="R8" s="53" t="str"/>
      <x:c r="S8" s="53" t="str"/>
      <x:c r="T8" s="53" t="str"/>
      <x:c r="U8" s="53" t="str"/>
      <x:c r="V8" s="53" t="str"/>
      <x:c r="W8" s="53" t="str"/>
      <x:c r="X8" s="71" t="str">
        <x:v>75787</x:v>
      </x:c>
      <x:c r="Y8" s="41" t="str">
        <x:v>正常</x:v>
      </x:c>
      <x:c r="Z8" s="41" t="str">
        <x:v>待确认</x:v>
      </x:c>
      <x:c r="AA8" s="77" t="str"/>
      <x:c r="AB8" s="83" t="str"/>
      <x:c r="AC8" s="41" t="str"/>
    </x:row>
    <x:row r="9" ht="24" customHeight="1">
      <x:c r="A9" s="176" t="str">
        <x:v>3.0</x:v>
      </x:c>
      <x:c r="B9" s="47" t="str">
        <x:v>2b56d94</x:v>
      </x:c>
      <x:c r="C9" s="47" t="str">
        <x:v>Xiaomi 14</x:v>
      </x:c>
      <x:c r="D9" s="179" t="str">
        <x:v>Android 16 - HyperOS 3.0.303.0.WNCCNXM.C09</x:v>
      </x:c>
      <x:c r="E9" s="179" t="str">
        <x:v>Debug</x:v>
      </x:c>
      <x:c r="F9" s="179" t="str">
        <x:v>L1</x:v>
      </x:c>
      <x:c r="G9" s="179" t="str">
        <x:v>09_performance_gradient_3072x4096.png</x:v>
      </x:c>
      <x:c r="H9" s="179" t="str">
        <x:v>783198e25198cb7fabb18db9f690224bb4402fcb27737f46c81c1b11a2f5daec</x:v>
      </x:c>
      <x:c r="I9" s="47" t="str">
        <x:v>3072x4096</x:v>
      </x:c>
      <x:c r="J9" s="59" t="str">
        <x:v>12582912</x:v>
      </x:c>
      <x:c r="K9" s="47" t="str">
        <x:v>优先灰度化</x:v>
      </x:c>
      <x:c r="L9" s="47" t="str">
        <x:v>Native多线程v3.0</x:v>
      </x:c>
      <x:c r="M9" s="65" t="str">
        <x:v>8</x:v>
      </x:c>
      <x:c r="N9" s="65" t="str">
        <x:v>正式</x:v>
      </x:c>
      <x:c r="O9" s="65" t="str">
        <x:v>8</x:v>
      </x:c>
      <x:c r="P9" s="53" t="str"/>
      <x:c r="Q9" s="53" t="str"/>
      <x:c r="R9" s="53" t="str"/>
      <x:c r="S9" s="53" t="str"/>
      <x:c r="T9" s="53" t="str"/>
      <x:c r="U9" s="53" t="str"/>
      <x:c r="V9" s="53" t="str"/>
      <x:c r="W9" s="53" t="str"/>
      <x:c r="X9" s="71" t="str">
        <x:v>75787</x:v>
      </x:c>
      <x:c r="Y9" s="41" t="str">
        <x:v>正常</x:v>
      </x:c>
      <x:c r="Z9" s="41" t="str">
        <x:v>待确认</x:v>
      </x:c>
      <x:c r="AA9" s="77" t="str"/>
      <x:c r="AB9" s="83" t="str"/>
      <x:c r="AC9" s="41" t="str"/>
    </x:row>
    <x:row r="10" ht="24" customHeight="1">
      <x:c r="A10" s="176" t="str">
        <x:v>3.0</x:v>
      </x:c>
      <x:c r="B10" s="47" t="str">
        <x:v>2b56d94</x:v>
      </x:c>
      <x:c r="C10" s="47" t="str">
        <x:v>Xiaomi 14</x:v>
      </x:c>
      <x:c r="D10" s="179" t="str">
        <x:v>Android 16 - HyperOS 3.0.303.0.WNCCNXM.C09</x:v>
      </x:c>
      <x:c r="E10" s="179" t="str">
        <x:v>Debug</x:v>
      </x:c>
      <x:c r="F10" s="179" t="str">
        <x:v>L1</x:v>
      </x:c>
      <x:c r="G10" s="179" t="str">
        <x:v>09_performance_gradient_3072x4096.png</x:v>
      </x:c>
      <x:c r="H10" s="179" t="str">
        <x:v>783198e25198cb7fabb18db9f690224bb4402fcb27737f46c81c1b11a2f5daec</x:v>
      </x:c>
      <x:c r="I10" s="47" t="str">
        <x:v>3072x4096</x:v>
      </x:c>
      <x:c r="J10" s="59" t="str">
        <x:v>12582912</x:v>
      </x:c>
      <x:c r="K10" s="47" t="str">
        <x:v>优先灰度化</x:v>
      </x:c>
      <x:c r="L10" s="47" t="str">
        <x:v>Native多线程v3.0</x:v>
      </x:c>
      <x:c r="M10" s="65" t="str">
        <x:v>8</x:v>
      </x:c>
      <x:c r="N10" s="65" t="str">
        <x:v>正式</x:v>
      </x:c>
      <x:c r="O10" s="65" t="str">
        <x:v>9</x:v>
      </x:c>
      <x:c r="P10" s="53" t="str"/>
      <x:c r="Q10" s="53" t="str"/>
      <x:c r="R10" s="53" t="str"/>
      <x:c r="S10" s="53" t="str"/>
      <x:c r="T10" s="53" t="str"/>
      <x:c r="U10" s="53" t="str"/>
      <x:c r="V10" s="53" t="str"/>
      <x:c r="W10" s="53" t="str"/>
      <x:c r="X10" s="71" t="str">
        <x:v>75787</x:v>
      </x:c>
      <x:c r="Y10" s="41" t="str">
        <x:v>正常</x:v>
      </x:c>
      <x:c r="Z10" s="41" t="str">
        <x:v>待确认</x:v>
      </x:c>
      <x:c r="AA10" s="77" t="str"/>
      <x:c r="AB10" s="83" t="str"/>
      <x:c r="AC10" s="41" t="str"/>
    </x:row>
    <x:row r="11" ht="24" customHeight="1">
      <x:c r="A11" s="176" t="str">
        <x:v>3.0</x:v>
      </x:c>
      <x:c r="B11" s="47" t="str">
        <x:v>2b56d94</x:v>
      </x:c>
      <x:c r="C11" s="47" t="str">
        <x:v>Xiaomi 14</x:v>
      </x:c>
      <x:c r="D11" s="179" t="str">
        <x:v>Android 16 - HyperOS 3.0.303.0.WNCCNXM.C09</x:v>
      </x:c>
      <x:c r="E11" s="179" t="str">
        <x:v>Debug</x:v>
      </x:c>
      <x:c r="F11" s="179" t="str">
        <x:v>L1</x:v>
      </x:c>
      <x:c r="G11" s="179" t="str">
        <x:v>09_performance_gradient_3072x4096.png</x:v>
      </x:c>
      <x:c r="H11" s="179" t="str">
        <x:v>783198e25198cb7fabb18db9f690224bb4402fcb27737f46c81c1b11a2f5daec</x:v>
      </x:c>
      <x:c r="I11" s="47" t="str">
        <x:v>3072x4096</x:v>
      </x:c>
      <x:c r="J11" s="59" t="str">
        <x:v>12582912</x:v>
      </x:c>
      <x:c r="K11" s="47" t="str">
        <x:v>优先灰度化</x:v>
      </x:c>
      <x:c r="L11" s="47" t="str">
        <x:v>Native多线程v3.0</x:v>
      </x:c>
      <x:c r="M11" s="65" t="str">
        <x:v>8</x:v>
      </x:c>
      <x:c r="N11" s="65" t="str">
        <x:v>正式</x:v>
      </x:c>
      <x:c r="O11" s="65" t="str">
        <x:v>10</x:v>
      </x:c>
      <x:c r="P11" s="53" t="str"/>
      <x:c r="Q11" s="53" t="str"/>
      <x:c r="R11" s="53" t="str"/>
      <x:c r="S11" s="53" t="str"/>
      <x:c r="T11" s="53" t="str"/>
      <x:c r="U11" s="53" t="str"/>
      <x:c r="V11" s="53" t="str"/>
      <x:c r="W11" s="53" t="str"/>
      <x:c r="X11" s="71" t="str">
        <x:v>75787</x:v>
      </x:c>
      <x:c r="Y11" s="41" t="str">
        <x:v>正常</x:v>
      </x:c>
      <x:c r="Z11" s="41" t="str">
        <x:v>待确认</x:v>
      </x:c>
      <x:c r="AA11" s="77" t="str"/>
      <x:c r="AB11" s="83" t="str"/>
      <x:c r="AC11" s="41" t="str"/>
    </x:row>
    <x:row r="12" ht="24" customHeight="1">
      <x:c r="A12" s="176" t="str">
        <x:v>3.0</x:v>
      </x:c>
      <x:c r="B12" s="47" t="str">
        <x:v>2b56d94</x:v>
      </x:c>
      <x:c r="C12" s="47" t="str">
        <x:v>Xiaomi 14</x:v>
      </x:c>
      <x:c r="D12" s="179" t="str">
        <x:v>Android 16 - HyperOS 3.0.303.0.WNCCNXM.C09</x:v>
      </x:c>
      <x:c r="E12" s="179" t="str">
        <x:v>Debug</x:v>
      </x:c>
      <x:c r="F12" s="179" t="str">
        <x:v>L1</x:v>
      </x:c>
      <x:c r="G12" s="179" t="str">
        <x:v>09_performance_gradient_3072x4096.png</x:v>
      </x:c>
      <x:c r="H12" s="179" t="str">
        <x:v>783198e25198cb7fabb18db9f690224bb4402fcb27737f46c81c1b11a2f5daec</x:v>
      </x:c>
      <x:c r="I12" s="47" t="str">
        <x:v>3072x4096</x:v>
      </x:c>
      <x:c r="J12" s="59" t="str">
        <x:v>12582912</x:v>
      </x:c>
      <x:c r="K12" s="47" t="str">
        <x:v>统计时灰度化</x:v>
      </x:c>
      <x:c r="L12" s="47" t="str">
        <x:v>Native多线程v3.0</x:v>
      </x:c>
      <x:c r="M12" s="65" t="str">
        <x:v>8</x:v>
      </x:c>
      <x:c r="N12" s="65" t="str">
        <x:v>正式</x:v>
      </x:c>
      <x:c r="O12" s="65" t="str">
        <x:v>1</x:v>
      </x:c>
      <x:c r="P12" s="53" t="str"/>
      <x:c r="Q12" s="53" t="str"/>
      <x:c r="R12" s="53" t="str"/>
      <x:c r="S12" s="53" t="str"/>
      <x:c r="T12" s="53" t="str"/>
      <x:c r="U12" s="53" t="str"/>
      <x:c r="V12" s="53" t="str"/>
      <x:c r="W12" s="53" t="str"/>
      <x:c r="X12" s="71" t="str">
        <x:v>75787</x:v>
      </x:c>
      <x:c r="Y12" s="41" t="str">
        <x:v>正常</x:v>
      </x:c>
      <x:c r="Z12" s="41" t="str">
        <x:v>待确认</x:v>
      </x:c>
      <x:c r="AA12" s="77" t="str"/>
      <x:c r="AB12" s="83" t="str"/>
      <x:c r="AC12" s="41" t="str"/>
    </x:row>
    <x:row r="13" ht="24" customHeight="1">
      <x:c r="A13" s="176" t="str">
        <x:v>3.0</x:v>
      </x:c>
      <x:c r="B13" s="47" t="str">
        <x:v>2b56d94</x:v>
      </x:c>
      <x:c r="C13" s="47" t="str">
        <x:v>Xiaomi 14</x:v>
      </x:c>
      <x:c r="D13" s="179" t="str">
        <x:v>Android 16 - HyperOS 3.0.303.0.WNCCNXM.C09</x:v>
      </x:c>
      <x:c r="E13" s="179" t="str">
        <x:v>Debug</x:v>
      </x:c>
      <x:c r="F13" s="179" t="str">
        <x:v>L1</x:v>
      </x:c>
      <x:c r="G13" s="179" t="str">
        <x:v>09_performance_gradient_3072x4096.png</x:v>
      </x:c>
      <x:c r="H13" s="179" t="str">
        <x:v>783198e25198cb7fabb18db9f690224bb4402fcb27737f46c81c1b11a2f5daec</x:v>
      </x:c>
      <x:c r="I13" s="47" t="str">
        <x:v>3072x4096</x:v>
      </x:c>
      <x:c r="J13" s="59" t="str">
        <x:v>12582912</x:v>
      </x:c>
      <x:c r="K13" s="47" t="str">
        <x:v>统计时灰度化</x:v>
      </x:c>
      <x:c r="L13" s="47" t="str">
        <x:v>Native多线程v3.0</x:v>
      </x:c>
      <x:c r="M13" s="65" t="str">
        <x:v>8</x:v>
      </x:c>
      <x:c r="N13" s="65" t="str">
        <x:v>正式</x:v>
      </x:c>
      <x:c r="O13" s="65" t="str">
        <x:v>2</x:v>
      </x:c>
      <x:c r="P13" s="53" t="str"/>
      <x:c r="Q13" s="53" t="str"/>
      <x:c r="R13" s="53" t="str"/>
      <x:c r="S13" s="53" t="str"/>
      <x:c r="T13" s="53" t="str"/>
      <x:c r="U13" s="53" t="str"/>
      <x:c r="V13" s="53" t="str"/>
      <x:c r="W13" s="53" t="str"/>
      <x:c r="X13" s="71" t="str">
        <x:v>75787</x:v>
      </x:c>
      <x:c r="Y13" s="41" t="str">
        <x:v>正常</x:v>
      </x:c>
      <x:c r="Z13" s="41" t="str">
        <x:v>待确认</x:v>
      </x:c>
      <x:c r="AA13" s="77" t="str"/>
      <x:c r="AB13" s="83" t="str"/>
      <x:c r="AC13" s="41" t="str"/>
    </x:row>
    <x:row r="14" ht="24" customHeight="1">
      <x:c r="A14" s="176" t="str">
        <x:v>3.0</x:v>
      </x:c>
      <x:c r="B14" s="47" t="str">
        <x:v>2b56d94</x:v>
      </x:c>
      <x:c r="C14" s="47" t="str">
        <x:v>Xiaomi 14</x:v>
      </x:c>
      <x:c r="D14" s="179" t="str">
        <x:v>Android 16 - HyperOS 3.0.303.0.WNCCNXM.C09</x:v>
      </x:c>
      <x:c r="E14" s="179" t="str">
        <x:v>Debug</x:v>
      </x:c>
      <x:c r="F14" s="179" t="str">
        <x:v>L1</x:v>
      </x:c>
      <x:c r="G14" s="179" t="str">
        <x:v>09_performance_gradient_3072x4096.png</x:v>
      </x:c>
      <x:c r="H14" s="179" t="str">
        <x:v>783198e25198cb7fabb18db9f690224bb4402fcb27737f46c81c1b11a2f5daec</x:v>
      </x:c>
      <x:c r="I14" s="47" t="str">
        <x:v>3072x4096</x:v>
      </x:c>
      <x:c r="J14" s="59" t="str">
        <x:v>12582912</x:v>
      </x:c>
      <x:c r="K14" s="47" t="str">
        <x:v>统计时灰度化</x:v>
      </x:c>
      <x:c r="L14" s="47" t="str">
        <x:v>Native多线程v3.0</x:v>
      </x:c>
      <x:c r="M14" s="65" t="str">
        <x:v>8</x:v>
      </x:c>
      <x:c r="N14" s="65" t="str">
        <x:v>正式</x:v>
      </x:c>
      <x:c r="O14" s="65" t="str">
        <x:v>3</x:v>
      </x:c>
      <x:c r="P14" s="53" t="str"/>
      <x:c r="Q14" s="53" t="str"/>
      <x:c r="R14" s="53" t="str"/>
      <x:c r="S14" s="53" t="str"/>
      <x:c r="T14" s="53" t="str"/>
      <x:c r="U14" s="53" t="str"/>
      <x:c r="V14" s="53" t="str"/>
      <x:c r="W14" s="53" t="str"/>
      <x:c r="X14" s="71" t="str">
        <x:v>75787</x:v>
      </x:c>
      <x:c r="Y14" s="41" t="str">
        <x:v>正常</x:v>
      </x:c>
      <x:c r="Z14" s="41" t="str">
        <x:v>待确认</x:v>
      </x:c>
      <x:c r="AA14" s="77" t="str"/>
      <x:c r="AB14" s="83" t="str"/>
      <x:c r="AC14" s="41" t="str"/>
    </x:row>
    <x:row r="15" ht="24" customHeight="1">
      <x:c r="A15" s="176" t="str">
        <x:v>3.0</x:v>
      </x:c>
      <x:c r="B15" s="47" t="str">
        <x:v>2b56d94</x:v>
      </x:c>
      <x:c r="C15" s="47" t="str">
        <x:v>Xiaomi 14</x:v>
      </x:c>
      <x:c r="D15" s="179" t="str">
        <x:v>Android 16 - HyperOS 3.0.303.0.WNCCNXM.C09</x:v>
      </x:c>
      <x:c r="E15" s="179" t="str">
        <x:v>Debug</x:v>
      </x:c>
      <x:c r="F15" s="179" t="str">
        <x:v>L1</x:v>
      </x:c>
      <x:c r="G15" s="179" t="str">
        <x:v>09_performance_gradient_3072x4096.png</x:v>
      </x:c>
      <x:c r="H15" s="179" t="str">
        <x:v>783198e25198cb7fabb18db9f690224bb4402fcb27737f46c81c1b11a2f5daec</x:v>
      </x:c>
      <x:c r="I15" s="47" t="str">
        <x:v>3072x4096</x:v>
      </x:c>
      <x:c r="J15" s="59" t="str">
        <x:v>12582912</x:v>
      </x:c>
      <x:c r="K15" s="47" t="str">
        <x:v>统计时灰度化</x:v>
      </x:c>
      <x:c r="L15" s="47" t="str">
        <x:v>Native多线程v3.0</x:v>
      </x:c>
      <x:c r="M15" s="65" t="str">
        <x:v>8</x:v>
      </x:c>
      <x:c r="N15" s="65" t="str">
        <x:v>正式</x:v>
      </x:c>
      <x:c r="O15" s="65" t="str">
        <x:v>4</x:v>
      </x:c>
      <x:c r="P15" s="53" t="str"/>
      <x:c r="Q15" s="53" t="str"/>
      <x:c r="R15" s="53" t="str"/>
      <x:c r="S15" s="53" t="str"/>
      <x:c r="T15" s="53" t="str"/>
      <x:c r="U15" s="53" t="str"/>
      <x:c r="V15" s="53" t="str"/>
      <x:c r="W15" s="53" t="str"/>
      <x:c r="X15" s="71" t="str">
        <x:v>75787</x:v>
      </x:c>
      <x:c r="Y15" s="41" t="str">
        <x:v>正常</x:v>
      </x:c>
      <x:c r="Z15" s="41" t="str">
        <x:v>待确认</x:v>
      </x:c>
      <x:c r="AA15" s="77" t="str"/>
      <x:c r="AB15" s="83" t="str"/>
      <x:c r="AC15" s="41" t="str"/>
    </x:row>
    <x:row r="16" ht="24" customHeight="1">
      <x:c r="A16" s="176" t="str">
        <x:v>3.0</x:v>
      </x:c>
      <x:c r="B16" s="47" t="str">
        <x:v>2b56d94</x:v>
      </x:c>
      <x:c r="C16" s="47" t="str">
        <x:v>Xiaomi 14</x:v>
      </x:c>
      <x:c r="D16" s="179" t="str">
        <x:v>Android 16 - HyperOS 3.0.303.0.WNCCNXM.C09</x:v>
      </x:c>
      <x:c r="E16" s="179" t="str">
        <x:v>Debug</x:v>
      </x:c>
      <x:c r="F16" s="179" t="str">
        <x:v>L1</x:v>
      </x:c>
      <x:c r="G16" s="179" t="str">
        <x:v>09_performance_gradient_3072x4096.png</x:v>
      </x:c>
      <x:c r="H16" s="179" t="str">
        <x:v>783198e25198cb7fabb18db9f690224bb4402fcb27737f46c81c1b11a2f5daec</x:v>
      </x:c>
      <x:c r="I16" s="47" t="str">
        <x:v>3072x4096</x:v>
      </x:c>
      <x:c r="J16" s="59" t="str">
        <x:v>12582912</x:v>
      </x:c>
      <x:c r="K16" s="47" t="str">
        <x:v>统计时灰度化</x:v>
      </x:c>
      <x:c r="L16" s="47" t="str">
        <x:v>Native多线程v3.0</x:v>
      </x:c>
      <x:c r="M16" s="65" t="str">
        <x:v>8</x:v>
      </x:c>
      <x:c r="N16" s="65" t="str">
        <x:v>正式</x:v>
      </x:c>
      <x:c r="O16" s="65" t="str">
        <x:v>5</x:v>
      </x:c>
      <x:c r="P16" s="53" t="str"/>
      <x:c r="Q16" s="53" t="str"/>
      <x:c r="R16" s="53" t="str"/>
      <x:c r="S16" s="53" t="str"/>
      <x:c r="T16" s="53" t="str"/>
      <x:c r="U16" s="53" t="str"/>
      <x:c r="V16" s="53" t="str"/>
      <x:c r="W16" s="53" t="str"/>
      <x:c r="X16" s="71" t="str">
        <x:v>75787</x:v>
      </x:c>
      <x:c r="Y16" s="41" t="str">
        <x:v>正常</x:v>
      </x:c>
      <x:c r="Z16" s="41" t="str">
        <x:v>待确认</x:v>
      </x:c>
      <x:c r="AA16" s="77" t="str"/>
      <x:c r="AB16" s="83" t="str"/>
      <x:c r="AC16" s="41" t="str"/>
    </x:row>
    <x:row r="17" ht="24" customHeight="1">
      <x:c r="A17" s="176" t="str">
        <x:v>3.0</x:v>
      </x:c>
      <x:c r="B17" s="47" t="str">
        <x:v>2b56d94</x:v>
      </x:c>
      <x:c r="C17" s="47" t="str">
        <x:v>Xiaomi 14</x:v>
      </x:c>
      <x:c r="D17" s="179" t="str">
        <x:v>Android 16 - HyperOS 3.0.303.0.WNCCNXM.C09</x:v>
      </x:c>
      <x:c r="E17" s="179" t="str">
        <x:v>Debug</x:v>
      </x:c>
      <x:c r="F17" s="179" t="str">
        <x:v>L1</x:v>
      </x:c>
      <x:c r="G17" s="179" t="str">
        <x:v>09_performance_gradient_3072x4096.png</x:v>
      </x:c>
      <x:c r="H17" s="179" t="str">
        <x:v>783198e25198cb7fabb18db9f690224bb4402fcb27737f46c81c1b11a2f5daec</x:v>
      </x:c>
      <x:c r="I17" s="47" t="str">
        <x:v>3072x4096</x:v>
      </x:c>
      <x:c r="J17" s="59" t="str">
        <x:v>12582912</x:v>
      </x:c>
      <x:c r="K17" s="47" t="str">
        <x:v>统计时灰度化</x:v>
      </x:c>
      <x:c r="L17" s="47" t="str">
        <x:v>Native多线程v3.0</x:v>
      </x:c>
      <x:c r="M17" s="65" t="str">
        <x:v>8</x:v>
      </x:c>
      <x:c r="N17" s="65" t="str">
        <x:v>正式</x:v>
      </x:c>
      <x:c r="O17" s="65" t="str">
        <x:v>6</x:v>
      </x:c>
      <x:c r="P17" s="53" t="str"/>
      <x:c r="Q17" s="53" t="str"/>
      <x:c r="R17" s="53" t="str"/>
      <x:c r="S17" s="53" t="str"/>
      <x:c r="T17" s="53" t="str"/>
      <x:c r="U17" s="53" t="str"/>
      <x:c r="V17" s="53" t="str"/>
      <x:c r="W17" s="53" t="str"/>
      <x:c r="X17" s="71" t="str">
        <x:v>75787</x:v>
      </x:c>
      <x:c r="Y17" s="41" t="str">
        <x:v>正常</x:v>
      </x:c>
      <x:c r="Z17" s="41" t="str">
        <x:v>待确认</x:v>
      </x:c>
      <x:c r="AA17" s="77" t="str"/>
      <x:c r="AB17" s="83" t="str"/>
      <x:c r="AC17" s="41" t="str"/>
    </x:row>
    <x:row r="18" ht="24" customHeight="1">
      <x:c r="A18" s="176" t="str">
        <x:v>3.0</x:v>
      </x:c>
      <x:c r="B18" s="47" t="str">
        <x:v>2b56d94</x:v>
      </x:c>
      <x:c r="C18" s="47" t="str">
        <x:v>Xiaomi 14</x:v>
      </x:c>
      <x:c r="D18" s="179" t="str">
        <x:v>Android 16 - HyperOS 3.0.303.0.WNCCNXM.C09</x:v>
      </x:c>
      <x:c r="E18" s="179" t="str">
        <x:v>Debug</x:v>
      </x:c>
      <x:c r="F18" s="179" t="str">
        <x:v>L1</x:v>
      </x:c>
      <x:c r="G18" s="179" t="str">
        <x:v>09_performance_gradient_3072x4096.png</x:v>
      </x:c>
      <x:c r="H18" s="179" t="str">
        <x:v>783198e25198cb7fabb18db9f690224bb4402fcb27737f46c81c1b11a2f5daec</x:v>
      </x:c>
      <x:c r="I18" s="47" t="str">
        <x:v>3072x4096</x:v>
      </x:c>
      <x:c r="J18" s="59" t="str">
        <x:v>12582912</x:v>
      </x:c>
      <x:c r="K18" s="47" t="str">
        <x:v>统计时灰度化</x:v>
      </x:c>
      <x:c r="L18" s="47" t="str">
        <x:v>Native多线程v3.0</x:v>
      </x:c>
      <x:c r="M18" s="65" t="str">
        <x:v>8</x:v>
      </x:c>
      <x:c r="N18" s="65" t="str">
        <x:v>正式</x:v>
      </x:c>
      <x:c r="O18" s="65" t="str">
        <x:v>7</x:v>
      </x:c>
      <x:c r="P18" s="53" t="str"/>
      <x:c r="Q18" s="53" t="str"/>
      <x:c r="R18" s="53" t="str"/>
      <x:c r="S18" s="53" t="str"/>
      <x:c r="T18" s="53" t="str"/>
      <x:c r="U18" s="53" t="str"/>
      <x:c r="V18" s="53" t="str"/>
      <x:c r="W18" s="53" t="str"/>
      <x:c r="X18" s="71" t="str">
        <x:v>75787</x:v>
      </x:c>
      <x:c r="Y18" s="41" t="str">
        <x:v>正常</x:v>
      </x:c>
      <x:c r="Z18" s="41" t="str">
        <x:v>待确认</x:v>
      </x:c>
      <x:c r="AA18" s="77" t="str"/>
      <x:c r="AB18" s="83" t="str"/>
      <x:c r="AC18" s="41" t="str"/>
    </x:row>
    <x:row r="19" ht="24" customHeight="1">
      <x:c r="A19" s="176" t="str">
        <x:v>3.0</x:v>
      </x:c>
      <x:c r="B19" s="47" t="str">
        <x:v>2b56d94</x:v>
      </x:c>
      <x:c r="C19" s="47" t="str">
        <x:v>Xiaomi 14</x:v>
      </x:c>
      <x:c r="D19" s="179" t="str">
        <x:v>Android 16 - HyperOS 3.0.303.0.WNCCNXM.C09</x:v>
      </x:c>
      <x:c r="E19" s="179" t="str">
        <x:v>Debug</x:v>
      </x:c>
      <x:c r="F19" s="179" t="str">
        <x:v>L1</x:v>
      </x:c>
      <x:c r="G19" s="179" t="str">
        <x:v>09_performance_gradient_3072x4096.png</x:v>
      </x:c>
      <x:c r="H19" s="179" t="str">
        <x:v>783198e25198cb7fabb18db9f690224bb4402fcb27737f46c81c1b11a2f5daec</x:v>
      </x:c>
      <x:c r="I19" s="47" t="str">
        <x:v>3072x4096</x:v>
      </x:c>
      <x:c r="J19" s="59" t="str">
        <x:v>12582912</x:v>
      </x:c>
      <x:c r="K19" s="47" t="str">
        <x:v>统计时灰度化</x:v>
      </x:c>
      <x:c r="L19" s="47" t="str">
        <x:v>Native多线程v3.0</x:v>
      </x:c>
      <x:c r="M19" s="65" t="str">
        <x:v>8</x:v>
      </x:c>
      <x:c r="N19" s="65" t="str">
        <x:v>正式</x:v>
      </x:c>
      <x:c r="O19" s="65" t="str">
        <x:v>8</x:v>
      </x:c>
      <x:c r="P19" s="53" t="str"/>
      <x:c r="Q19" s="53" t="str"/>
      <x:c r="R19" s="53" t="str"/>
      <x:c r="S19" s="53" t="str"/>
      <x:c r="T19" s="53" t="str"/>
      <x:c r="U19" s="53" t="str"/>
      <x:c r="V19" s="53" t="str"/>
      <x:c r="W19" s="53" t="str"/>
      <x:c r="X19" s="71" t="str">
        <x:v>75787</x:v>
      </x:c>
      <x:c r="Y19" s="41" t="str">
        <x:v>正常</x:v>
      </x:c>
      <x:c r="Z19" s="41" t="str">
        <x:v>待确认</x:v>
      </x:c>
      <x:c r="AA19" s="77" t="str"/>
      <x:c r="AB19" s="83" t="str"/>
      <x:c r="AC19" s="41" t="str"/>
    </x:row>
    <x:row r="20" ht="24" customHeight="1">
      <x:c r="A20" s="176" t="str">
        <x:v>3.0</x:v>
      </x:c>
      <x:c r="B20" s="47" t="str">
        <x:v>2b56d94</x:v>
      </x:c>
      <x:c r="C20" s="47" t="str">
        <x:v>Xiaomi 14</x:v>
      </x:c>
      <x:c r="D20" s="179" t="str">
        <x:v>Android 16 - HyperOS 3.0.303.0.WNCCNXM.C09</x:v>
      </x:c>
      <x:c r="E20" s="179" t="str">
        <x:v>Debug</x:v>
      </x:c>
      <x:c r="F20" s="179" t="str">
        <x:v>L1</x:v>
      </x:c>
      <x:c r="G20" s="179" t="str">
        <x:v>09_performance_gradient_3072x4096.png</x:v>
      </x:c>
      <x:c r="H20" s="179" t="str">
        <x:v>783198e25198cb7fabb18db9f690224bb4402fcb27737f46c81c1b11a2f5daec</x:v>
      </x:c>
      <x:c r="I20" s="47" t="str">
        <x:v>3072x4096</x:v>
      </x:c>
      <x:c r="J20" s="59" t="str">
        <x:v>12582912</x:v>
      </x:c>
      <x:c r="K20" s="47" t="str">
        <x:v>统计时灰度化</x:v>
      </x:c>
      <x:c r="L20" s="47" t="str">
        <x:v>Native多线程v3.0</x:v>
      </x:c>
      <x:c r="M20" s="65" t="str">
        <x:v>8</x:v>
      </x:c>
      <x:c r="N20" s="65" t="str">
        <x:v>正式</x:v>
      </x:c>
      <x:c r="O20" s="65" t="str">
        <x:v>9</x:v>
      </x:c>
      <x:c r="P20" s="53" t="str"/>
      <x:c r="Q20" s="53" t="str"/>
      <x:c r="R20" s="53" t="str"/>
      <x:c r="S20" s="53" t="str"/>
      <x:c r="T20" s="53" t="str"/>
      <x:c r="U20" s="53" t="str"/>
      <x:c r="V20" s="53" t="str"/>
      <x:c r="W20" s="53" t="str"/>
      <x:c r="X20" s="71" t="str">
        <x:v>75787</x:v>
      </x:c>
      <x:c r="Y20" s="41" t="str">
        <x:v>正常</x:v>
      </x:c>
      <x:c r="Z20" s="41" t="str">
        <x:v>待确认</x:v>
      </x:c>
      <x:c r="AA20" s="77" t="str"/>
      <x:c r="AB20" s="83" t="str"/>
      <x:c r="AC20" s="41" t="str"/>
    </x:row>
    <x:row r="21" ht="24" customHeight="1">
      <x:c r="A21" s="177" t="str">
        <x:v>3.0</x:v>
      </x:c>
      <x:c r="B21" s="48" t="str">
        <x:v>2b56d94</x:v>
      </x:c>
      <x:c r="C21" s="48" t="str">
        <x:v>Xiaomi 14</x:v>
      </x:c>
      <x:c r="D21" s="180" t="str">
        <x:v>Android 16 - HyperOS 3.0.303.0.WNCCNXM.C09</x:v>
      </x:c>
      <x:c r="E21" s="180" t="str">
        <x:v>Debug</x:v>
      </x:c>
      <x:c r="F21" s="180" t="str">
        <x:v>L1</x:v>
      </x:c>
      <x:c r="G21" s="180" t="str">
        <x:v>09_performance_gradient_3072x4096.png</x:v>
      </x:c>
      <x:c r="H21" s="180" t="str">
        <x:v>783198e25198cb7fabb18db9f690224bb4402fcb27737f46c81c1b11a2f5daec</x:v>
      </x:c>
      <x:c r="I21" s="48" t="str">
        <x:v>3072x4096</x:v>
      </x:c>
      <x:c r="J21" s="60" t="str">
        <x:v>12582912</x:v>
      </x:c>
      <x:c r="K21" s="48" t="str">
        <x:v>统计时灰度化</x:v>
      </x:c>
      <x:c r="L21" s="48" t="str">
        <x:v>Native多线程v3.0</x:v>
      </x:c>
      <x:c r="M21" s="66" t="str">
        <x:v>8</x:v>
      </x:c>
      <x:c r="N21" s="66" t="str">
        <x:v>正式</x:v>
      </x:c>
      <x:c r="O21" s="66" t="str">
        <x:v>10</x:v>
      </x:c>
      <x:c r="P21" s="54" t="str"/>
      <x:c r="Q21" s="54" t="str"/>
      <x:c r="R21" s="54" t="str"/>
      <x:c r="S21" s="54" t="str"/>
      <x:c r="T21" s="54" t="str"/>
      <x:c r="U21" s="54" t="str"/>
      <x:c r="V21" s="54" t="str"/>
      <x:c r="W21" s="54" t="str"/>
      <x:c r="X21" s="72" t="str">
        <x:v>75787</x:v>
      </x:c>
      <x:c r="Y21" s="42" t="str">
        <x:v>正常</x:v>
      </x:c>
      <x:c r="Z21" s="42" t="str">
        <x:v>待确认</x:v>
      </x:c>
      <x:c r="AA21" s="78" t="str"/>
      <x:c r="AB21" s="84" t="str"/>
      <x:c r="AC21" s="42" t="str"/>
    </x:row>
  </x:sheetData>
  <x:dataValidations count="3">
    <x:dataValidation type="list" sqref="E2:E21">
      <x:formula1>"Release,Debug"</x:formula1>
    </x:dataValidation>
    <x:dataValidation type="list" sqref="Y2:Y21">
      <x:formula1>"偏暗,偏亮,低对比度,正常"</x:formula1>
    </x:dataValidation>
    <x:dataValidation type="list" sqref="Z2:Z21">
      <x:formula1>"是,否,待确认"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92" t="str">
        <x:v>ImageHistogramAnalyzer 真机性能验收汇总</x:v>
      </x:c>
      <x:c r="B1" s="92"/>
      <x:c r="C1" s="92"/>
      <x:c r="D1" s="92"/>
      <x:c r="E1" s="92"/>
      <x:c r="F1" s="92"/>
    </x:row>
    <x:row r="3">
      <x:c r="A3" s="96" t="str">
        <x:v>填写说明</x:v>
      </x:c>
      <x:c r="B3" s="100" t="str">
        <x:v>先在“逐次记录”填写 20 次正式数据，本表自动汇总核心耗时。</x:v>
      </x:c>
    </x:row>
    <x:row r="4">
      <x:c r="A4" s="96" t="str">
        <x:v>固定图片 SHA-256</x:v>
      </x:c>
      <x:c r="B4" s="100" t="str">
        <x:v>783198e25198cb7fabb18db9f690224bb4402fcb27737f46c81c1b11a2f5daec</x:v>
      </x:c>
    </x:row>
    <x:row r="5">
      <x:c r="A5" s="96" t="str">
        <x:v>Git commit / 构建类型</x:v>
      </x:c>
      <x:c r="B5" s="100" t="str">
        <x:v>2b56d94 / Debug / v3.0</x:v>
      </x:c>
    </x:row>
    <x:row r="6">
      <x:c r="A6" s="96" t="str">
        <x:v>设备与系统</x:v>
      </x:c>
      <x:c r="B6" s="100" t="str">
        <x:v>Xiaomi 14 / Android 16 / HyperOS 3.0.303.0.WNCCNXM.C09</x:v>
      </x:c>
    </x:row>
    <x:row r="7">
      <x:c r="A7" s="220" t="str">
        <x:v>当前 Debug APK SHA-256</x:v>
      </x:c>
      <x:c r="B7" s="221" t="str">
        <x:v>6ea9c143573ad97b47619c7d9f6359c659f63afb0e912807b8d9885c4cd9730c</x:v>
      </x:c>
    </x:row>
    <x:row r="8">
      <x:c r="A8" s="112" t="str">
        <x:v>方案</x:v>
      </x:c>
      <x:c r="B8" s="113" t="str">
        <x:v>有效次数</x:v>
      </x:c>
      <x:c r="C8" s="113" t="str">
        <x:v>核心中位数(ms)</x:v>
      </x:c>
      <x:c r="D8" s="113" t="str">
        <x:v>P90(ms)</x:v>
      </x:c>
      <x:c r="E8" s="113" t="str">
        <x:v>最差(ms)</x:v>
      </x:c>
      <x:c r="F8" s="114" t="str">
        <x:v>300ms结论</x:v>
      </x:c>
    </x:row>
    <x:row r="9">
      <x:c r="A9" s="120" t="str">
        <x:v>优先灰度化</x:v>
      </x:c>
      <x:c r="B9" s="124" t="n">
        <x:f>COUNTIFS('逐次记录'!$K$2:$K$21,$A9,'逐次记录'!$W$2:$W$21,"&gt;0")</x:f>
        <x:v>0</x:v>
      </x:c>
      <x:c r="C9" s="128" t="str">
        <x:f>IF(B9=0,"",MEDIAN(_xlfn._xlws.FILTER('逐次记录'!$W$2:$W$21,'逐次记录'!$K$2:$K$21=$A9)))</x:f>
      </x:c>
      <x:c r="D9" s="128" t="str">
        <x:f>IF(B9=0,"",PERCENTILE.INC(_xlfn._xlws.FILTER('逐次记录'!$W$2:$W$21,'逐次记录'!$K$2:$K$21=$A9),0.9))</x:f>
      </x:c>
      <x:c r="E9" s="128" t="str">
        <x:f>IF(B9=0,"",MAX(_xlfn._xlws.FILTER('逐次记录'!$W$2:$W$21,'逐次记录'!$K$2:$K$21=$A9)))</x:f>
      </x:c>
      <x:c r="F9" s="120" t="str">
        <x:f>IF(B9&lt;10,"待填写",IF(AND(C9&lt;300,D9&lt;300),"达标","未达标"))</x:f>
        <x:v>待填写</x:v>
      </x:c>
    </x:row>
    <x:row r="10">
      <x:c r="A10" s="121" t="str">
        <x:v>统计时灰度化</x:v>
      </x:c>
      <x:c r="B10" s="125" t="n">
        <x:f>COUNTIFS('逐次记录'!$K$2:$K$21,$A10,'逐次记录'!$W$2:$W$21,"&gt;0")</x:f>
        <x:v>0</x:v>
      </x:c>
      <x:c r="C10" s="129" t="str">
        <x:f>IF(B10=0,"",MEDIAN(_xlfn._xlws.FILTER('逐次记录'!$W$2:$W$21,'逐次记录'!$K$2:$K$21=$A10)))</x:f>
      </x:c>
      <x:c r="D10" s="129" t="str">
        <x:f>IF(B10=0,"",PERCENTILE.INC(_xlfn._xlws.FILTER('逐次记录'!$W$2:$W$21,'逐次记录'!$K$2:$K$21=$A10),0.9))</x:f>
      </x:c>
      <x:c r="E10" s="129" t="str">
        <x:f>IF(B10=0,"",MAX(_xlfn._xlws.FILTER('逐次记录'!$W$2:$W$21,'逐次记录'!$K$2:$K$21=$A10)))</x:f>
      </x:c>
      <x:c r="F10" s="121" t="str">
        <x:f>IF(B10&lt;10,"待填写",IF(AND(C10&lt;300,D10&lt;300),"达标","未达标"))</x:f>
        <x:v>待填写</x:v>
      </x:c>
    </x:row>
    <x:row r="12">
      <x:c r="A12" s="134" t="str">
        <x:v>验收提醒</x:v>
      </x:c>
      <x:c r="B12" s="136" t="str">
        <x:v>中位数和 P90 均低于 300ms 才写“达标”；最差值必须保留。</x:v>
      </x:c>
      <x:c r="C12" s="136"/>
      <x:c r="D12" s="136"/>
      <x:c r="E12" s="136"/>
      <x:c r="F12" s="136"/>
    </x:row>
    <x:row r="13">
      <x:c r="A13" s="134" t="str">
        <x:v>正确性</x:v>
      </x:c>
      <x:c r="B13" s="136" t="str">
        <x:v>两方案最高频次应相同；逐 bin 一致性由自动化测试提供。</x:v>
      </x:c>
      <x:c r="C13" s="136"/>
      <x:c r="D13" s="136"/>
      <x:c r="E13" s="136"/>
      <x:c r="F13" s="136"/>
    </x:row>
    <x:row r="14">
      <x:c r="A14" s="134" t="str">
        <x:v>隐私</x:v>
      </x:c>
      <x:c r="B14" s="136" t="str">
        <x:v>不要把原始私人照片、签名文件或账号信息放进工作簿。</x:v>
      </x:c>
      <x:c r="C14" s="136"/>
      <x:c r="D14" s="136"/>
      <x:c r="E14" s="136"/>
      <x:c r="F14" s="136"/>
    </x:row>
  </x:sheetData>
  <x:mergeCells>
    <x:mergeCell ref="A1:F1"/>
    <x:mergeCell ref="B12:F12"/>
    <x:mergeCell ref="B13:F13"/>
    <x:mergeCell ref="B14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8" hidden="0" customWidth="1"/>
    <x:col min="4" max="4" width="15" hidden="0" customWidth="1"/>
    <x:col min="5" max="5" width="14" hidden="0" customWidth="1"/>
    <x:col min="6" max="6" width="70" hidden="0" customWidth="1"/>
    <x:col min="7" max="7" width="44" hidden="0" customWidth="1"/>
    <x:col min="8" max="8" width="52" hidden="0" customWidth="1"/>
  </x:cols>
  <x:sheetData>
    <x:row r="1" ht="30" customHeight="1">
      <x:c r="A1" s="226" t="str">
        <x:v>ID</x:v>
      </x:c>
      <x:c r="B1" s="226" t="str">
        <x:v>类别</x:v>
      </x:c>
      <x:c r="C1" s="226" t="str">
        <x:v>文件</x:v>
      </x:c>
      <x:c r="D1" s="226" t="str">
        <x:v>分辨率</x:v>
      </x:c>
      <x:c r="E1" s="226" t="str">
        <x:v>像素数</x:v>
      </x:c>
      <x:c r="F1" s="226" t="str">
        <x:v>SHA-256</x:v>
      </x:c>
      <x:c r="G1" s="226" t="str">
        <x:v>预期/用途</x:v>
      </x:c>
      <x:c r="H1" s="226" t="str">
        <x:v>来源</x:v>
      </x:c>
    </x:row>
    <x:row r="2" ht="28" customHeight="1">
      <x:c r="A2" s="238" t="str">
        <x:v>S01</x:v>
      </x:c>
      <x:c r="B2" s="244" t="str">
        <x:v>确定性</x:v>
      </x:c>
      <x:c r="C2" s="250" t="str">
        <x:v>01_black_256.png</x:v>
      </x:c>
      <x:c r="D2" s="250" t="str">
        <x:v>256x256</x:v>
      </x:c>
      <x:c r="E2" s="251" t="n">
        <x:v>65536</x:v>
      </x:c>
      <x:c r="F2" s="256" t="str">
        <x:v>83efca097265b674fa6af57c9e6e9f667cb32a19f1da46f794995e88837713ec</x:v>
      </x:c>
      <x:c r="G2" s="250" t="str">
        <x:v>bin 0=65536；偏暗</x:v>
      </x:c>
      <x:c r="H2" s="250" t="str">
        <x:v>项目脚本生成</x:v>
      </x:c>
    </x:row>
    <x:row r="3" ht="28" customHeight="1">
      <x:c r="A3" s="239" t="str">
        <x:v>S02</x:v>
      </x:c>
      <x:c r="B3" s="245" t="str">
        <x:v>确定性</x:v>
      </x:c>
      <x:c r="C3" s="252" t="str">
        <x:v>02_white_256.png</x:v>
      </x:c>
      <x:c r="D3" s="252" t="str">
        <x:v>256x256</x:v>
      </x:c>
      <x:c r="E3" s="253" t="n">
        <x:v>65536</x:v>
      </x:c>
      <x:c r="F3" s="257" t="str">
        <x:v>3408dfdcac0e2a40c24326dd59bfda33af912429b8a98482038dcdd6e036ed8a</x:v>
      </x:c>
      <x:c r="G3" s="252" t="str">
        <x:v>bin 255=65536；偏亮</x:v>
      </x:c>
      <x:c r="H3" s="252" t="str">
        <x:v>项目脚本生成</x:v>
      </x:c>
    </x:row>
    <x:row r="4" ht="28" customHeight="1">
      <x:c r="A4" s="239" t="str">
        <x:v>S03</x:v>
      </x:c>
      <x:c r="B4" s="245" t="str">
        <x:v>确定性</x:v>
      </x:c>
      <x:c r="C4" s="252" t="str">
        <x:v>03_dark_gray80_256.png</x:v>
      </x:c>
      <x:c r="D4" s="252" t="str">
        <x:v>256x256</x:v>
      </x:c>
      <x:c r="E4" s="253" t="n">
        <x:v>65536</x:v>
      </x:c>
      <x:c r="F4" s="257" t="str">
        <x:v>68bd27a8df7ff3fcf3d1934d218147cfba9d4d0297dcda621283d3bf1ec2c867</x:v>
      </x:c>
      <x:c r="G4" s="252" t="str">
        <x:v>平均灰度80；偏暗</x:v>
      </x:c>
      <x:c r="H4" s="252" t="str">
        <x:v>项目脚本生成</x:v>
      </x:c>
    </x:row>
    <x:row r="5" ht="28" customHeight="1">
      <x:c r="A5" s="239" t="str">
        <x:v>S04</x:v>
      </x:c>
      <x:c r="B5" s="245" t="str">
        <x:v>确定性</x:v>
      </x:c>
      <x:c r="C5" s="252" t="str">
        <x:v>04_bright_gray180_256.png</x:v>
      </x:c>
      <x:c r="D5" s="252" t="str">
        <x:v>256x256</x:v>
      </x:c>
      <x:c r="E5" s="253" t="n">
        <x:v>65536</x:v>
      </x:c>
      <x:c r="F5" s="257" t="str">
        <x:v>a95b9aeda4b5e7b2901139c38f0a31d13ef45eec0a90c79697db59aea20371d4</x:v>
      </x:c>
      <x:c r="G5" s="252" t="str">
        <x:v>平均灰度180；偏亮</x:v>
      </x:c>
      <x:c r="H5" s="252" t="str">
        <x:v>项目脚本生成</x:v>
      </x:c>
    </x:row>
    <x:row r="6" ht="28" customHeight="1">
      <x:c r="A6" s="239" t="str">
        <x:v>S05</x:v>
      </x:c>
      <x:c r="B6" s="245" t="str">
        <x:v>确定性</x:v>
      </x:c>
      <x:c r="C6" s="252" t="str">
        <x:v>05_low_contrast_112_144.png</x:v>
      </x:c>
      <x:c r="D6" s="252" t="str">
        <x:v>256x256</x:v>
      </x:c>
      <x:c r="E6" s="253" t="n">
        <x:v>65536</x:v>
      </x:c>
      <x:c r="F6" s="257" t="str">
        <x:v>3c2f0eab485039e38232e1743d6d43c9936ea48453dff7fb4d5794b0ce3bd0ca</x:v>
      </x:c>
      <x:c r="G6" s="252" t="str">
        <x:v>均值127.609；标准差9.397；低对比度</x:v>
      </x:c>
      <x:c r="H6" s="252" t="str">
        <x:v>项目脚本生成</x:v>
      </x:c>
    </x:row>
    <x:row r="7" ht="28" customHeight="1">
      <x:c r="A7" s="239" t="str">
        <x:v>S06</x:v>
      </x:c>
      <x:c r="B7" s="245" t="str">
        <x:v>确定性</x:v>
      </x:c>
      <x:c r="C7" s="252" t="str">
        <x:v>06_normal_contrast_64_192.png</x:v>
      </x:c>
      <x:c r="D7" s="252" t="str">
        <x:v>256x256</x:v>
      </x:c>
      <x:c r="E7" s="253" t="n">
        <x:v>65536</x:v>
      </x:c>
      <x:c r="F7" s="257" t="str">
        <x:v>60dadf379ec7e67cc06e2ef7c8d271ec413371063fb407c0a395954a55fa84f2</x:v>
      </x:c>
      <x:c r="G7" s="252" t="str">
        <x:v>bin64/192各32768；正常</x:v>
      </x:c>
      <x:c r="H7" s="252" t="str">
        <x:v>项目脚本生成</x:v>
      </x:c>
    </x:row>
    <x:row r="8" ht="28" customHeight="1">
      <x:c r="A8" s="239" t="str">
        <x:v>S07</x:v>
      </x:c>
      <x:c r="B8" s="245" t="str">
        <x:v>确定性</x:v>
      </x:c>
      <x:c r="C8" s="252" t="str">
        <x:v>07_rgb_primary_300x100.png</x:v>
      </x:c>
      <x:c r="D8" s="252" t="str">
        <x:v>300x100</x:v>
      </x:c>
      <x:c r="E8" s="253" t="n">
        <x:v>30000</x:v>
      </x:c>
      <x:c r="F8" s="257" t="str">
        <x:v>46ba4308a1c26e6da200b78513938c844da9c66a5a4eb736b51780b29276a726</x:v>
      </x:c>
      <x:c r="G8" s="252" t="str">
        <x:v>R/G/B→bin76/150/29</x:v>
      </x:c>
      <x:c r="H8" s="252" t="str">
        <x:v>项目脚本生成</x:v>
      </x:c>
    </x:row>
    <x:row r="9" ht="28" customHeight="1">
      <x:c r="A9" s="239" t="str">
        <x:v>S08</x:v>
      </x:c>
      <x:c r="B9" s="245" t="str">
        <x:v>确定性</x:v>
      </x:c>
      <x:c r="C9" s="252" t="str">
        <x:v>08_alpha_red_checker_256.png</x:v>
      </x:c>
      <x:c r="D9" s="252" t="str">
        <x:v>256x256</x:v>
      </x:c>
      <x:c r="E9" s="253" t="n">
        <x:v>65536</x:v>
      </x:c>
      <x:c r="F9" s="257" t="str">
        <x:v>0eb44ca3e7e01965f1dbb24f41ec6054fbe70cf493c62afc869c9294dcc26e9a</x:v>
      </x:c>
      <x:c r="G9" s="252" t="str">
        <x:v>Alpha兼容；两方案一致</x:v>
      </x:c>
      <x:c r="H9" s="252" t="str">
        <x:v>项目脚本生成</x:v>
      </x:c>
    </x:row>
    <x:row r="10" ht="28" customHeight="1">
      <x:c r="A10" s="239" t="str">
        <x:v>L1</x:v>
      </x:c>
      <x:c r="B10" s="245" t="str">
        <x:v>性能</x:v>
      </x:c>
      <x:c r="C10" s="252" t="str">
        <x:v>09_performance_gradient_3072x4096.png</x:v>
      </x:c>
      <x:c r="D10" s="252" t="str">
        <x:v>3072x4096</x:v>
      </x:c>
      <x:c r="E10" s="253" t="n">
        <x:v>12582912</x:v>
      </x:c>
      <x:c r="F10" s="257" t="str">
        <x:v>783198e25198cb7fabb18db9f690224bb4402fcb27737f46c81c1b11a2f5daec</x:v>
      </x:c>
      <x:c r="G10" s="252" t="str">
        <x:v>最高频次75787；正常；正式10次</x:v>
      </x:c>
      <x:c r="H10" s="252" t="str">
        <x:v>项目脚本生成</x:v>
      </x:c>
    </x:row>
    <x:row r="11" ht="28" customHeight="1">
      <x:c r="A11" s="239" t="str">
        <x:v>B01</x:v>
      </x:c>
      <x:c r="B11" s="245" t="str">
        <x:v>边界</x:v>
      </x:c>
      <x:c r="C11" s="252" t="str">
        <x:v>10_max_valid_4000x4000.png</x:v>
      </x:c>
      <x:c r="D11" s="252" t="str">
        <x:v>4000x4000</x:v>
      </x:c>
      <x:c r="E11" s="253" t="n">
        <x:v>16000000</x:v>
      </x:c>
      <x:c r="F11" s="257" t="str">
        <x:v>0f4292ef933523ac3e6d685e32f1b8916be3b0f256c2ee7c5914220b061b07fb</x:v>
      </x:c>
      <x:c r="G11" s="252" t="str">
        <x:v>等于上限，应成功</x:v>
      </x:c>
      <x:c r="H11" s="252" t="str">
        <x:v>项目脚本生成</x:v>
      </x:c>
    </x:row>
    <x:row r="12" ht="28" customHeight="1">
      <x:c r="A12" s="239" t="str">
        <x:v>B02</x:v>
      </x:c>
      <x:c r="B12" s="245" t="str">
        <x:v>边界</x:v>
      </x:c>
      <x:c r="C12" s="252" t="str">
        <x:v>11_over_limit_4001x4000.png</x:v>
      </x:c>
      <x:c r="D12" s="252" t="str">
        <x:v>4001x4000</x:v>
      </x:c>
      <x:c r="E12" s="253" t="n">
        <x:v>16004000</x:v>
      </x:c>
      <x:c r="F12" s="257" t="str">
        <x:v>13d1b4960b81e32c9ac7b356d3fe86bae33906fbdc22e92f0fcfd10c565e6b26</x:v>
      </x:c>
      <x:c r="G12" s="252" t="str">
        <x:v>超过上限，应拒绝</x:v>
      </x:c>
      <x:c r="H12" s="252" t="str">
        <x:v>项目脚本生成</x:v>
      </x:c>
    </x:row>
    <x:row r="13" ht="28" customHeight="1">
      <x:c r="A13" s="239" t="str">
        <x:v>T1</x:v>
      </x:c>
      <x:c r="B13" s="245" t="str">
        <x:v>真实</x:v>
      </x:c>
      <x:c r="C13" s="252" t="str">
        <x:v>1.png.jpg</x:v>
      </x:c>
      <x:c r="D13" s="252" t="str">
        <x:v>1080x1440</x:v>
      </x:c>
      <x:c r="E13" s="253" t="n">
        <x:v>1555200</x:v>
      </x:c>
      <x:c r="F13" s="257" t="str">
        <x:v>d63bc747b6b1198413fe8fb861ab82cc5cf59498c420368d3b1b40296b7d5f87</x:v>
      </x:c>
      <x:c r="G13" s="252" t="str">
        <x:v>桌面参考mean118.716；正常</x:v>
      </x:c>
      <x:c r="H13" s="252" t="str">
        <x:v>本地私有</x:v>
      </x:c>
    </x:row>
    <x:row r="14" ht="28" customHeight="1">
      <x:c r="A14" s="239" t="str">
        <x:v>T2</x:v>
      </x:c>
      <x:c r="B14" s="245" t="str">
        <x:v>真实</x:v>
      </x:c>
      <x:c r="C14" s="252" t="str">
        <x:v>2.jpg</x:v>
      </x:c>
      <x:c r="D14" s="252" t="str">
        <x:v>1620x1080</x:v>
      </x:c>
      <x:c r="E14" s="253" t="n">
        <x:v>1749600</x:v>
      </x:c>
      <x:c r="F14" s="257" t="str">
        <x:v>2263029ea95d1f6457698a7c68afb86639e1df28592fcd7fad50bcaef36bd827</x:v>
      </x:c>
      <x:c r="G14" s="252" t="str">
        <x:v>桌面参考mean175.877；偏亮</x:v>
      </x:c>
      <x:c r="H14" s="252" t="str">
        <x:v>本地私有</x:v>
      </x:c>
    </x:row>
    <x:row r="15" ht="28" customHeight="1">
      <x:c r="A15" s="239" t="str">
        <x:v>T3</x:v>
      </x:c>
      <x:c r="B15" s="245" t="str">
        <x:v>真实</x:v>
      </x:c>
      <x:c r="C15" s="252" t="str">
        <x:v>3.jpg</x:v>
      </x:c>
      <x:c r="D15" s="252" t="str">
        <x:v>1440x1080</x:v>
      </x:c>
      <x:c r="E15" s="253" t="n">
        <x:v>1555200</x:v>
      </x:c>
      <x:c r="F15" s="257" t="str">
        <x:v>4bf9334a9c60a6c5428c03bc4227a52dda07a3c60148e26c21e70b8d960e814b</x:v>
      </x:c>
      <x:c r="G15" s="252" t="str">
        <x:v>桌面参考mean141.346；正常</x:v>
      </x:c>
      <x:c r="H15" s="252" t="str">
        <x:v>本地私有</x:v>
      </x:c>
    </x:row>
    <x:row r="16" ht="28" customHeight="1">
      <x:c r="A16" s="239" t="str">
        <x:v>T4</x:v>
      </x:c>
      <x:c r="B16" s="245" t="str">
        <x:v>真实</x:v>
      </x:c>
      <x:c r="C16" s="252" t="str">
        <x:v>4.png</x:v>
      </x:c>
      <x:c r="D16" s="252" t="str">
        <x:v>496x658</x:v>
      </x:c>
      <x:c r="E16" s="253" t="n">
        <x:v>326368</x:v>
      </x:c>
      <x:c r="F16" s="257" t="str">
        <x:v>3273d69b69b1921d8bfc5c5cb3e07bf8d4e166393438b2639434627c656840e7</x:v>
      </x:c>
      <x:c r="G16" s="252" t="str">
        <x:v>桌面参考mean140.601；正常</x:v>
      </x:c>
      <x:c r="H16" s="252" t="str">
        <x:v>本地私有</x:v>
      </x:c>
    </x:row>
    <x:row r="17" ht="28" customHeight="1">
      <x:c r="A17" s="239" t="str">
        <x:v>T5</x:v>
      </x:c>
      <x:c r="B17" s="245" t="str">
        <x:v>真实</x:v>
      </x:c>
      <x:c r="C17" s="252" t="str">
        <x:v>5.png</x:v>
      </x:c>
      <x:c r="D17" s="252" t="str">
        <x:v>492x660</x:v>
      </x:c>
      <x:c r="E17" s="253" t="n">
        <x:v>324720</x:v>
      </x:c>
      <x:c r="F17" s="257" t="str">
        <x:v>1573f8b465f4d105f460056cb5f9a70a174d06f67c635db8da5eea5487a509e6</x:v>
      </x:c>
      <x:c r="G17" s="252" t="str">
        <x:v>桌面参考mean66.320；偏暗</x:v>
      </x:c>
      <x:c r="H17" s="252" t="str">
        <x:v>本地私有</x:v>
      </x:c>
    </x:row>
    <x:row r="18" ht="28" customHeight="1">
      <x:c r="A18" s="240" t="str">
        <x:v>W01</x:v>
      </x:c>
      <x:c r="B18" s="246" t="str">
        <x:v>公开WebP</x:v>
      </x:c>
      <x:c r="C18" s="254" t="str">
        <x:v>google_webp_gallery_4.webp</x:v>
      </x:c>
      <x:c r="D18" s="254" t="str">
        <x:v>1024x772</x:v>
      </x:c>
      <x:c r="E18" s="255" t="n">
        <x:v>790528</x:v>
      </x:c>
      <x:c r="F18" s="258" t="str">
        <x:v>0858d0afcb2921ded36b05586204f2459d965feb7db54cb083e3cfa059589dd9</x:v>
      </x:c>
      <x:c r="G18" s="254" t="str">
        <x:v>WebP；桌面参考mean141.294；正常</x:v>
      </x:c>
      <x:c r="H18" s="254" t="str">
        <x:v>https://developers.google.com/speed/webp/gallery1</x:v>
      </x:c>
    </x:row>
  </x:sheetData>
  <x:pageMargins left="0.7" right="0.7" top="0.75" bottom="0.75" header="0.3" footer="0.3"/>
</x:worksheet>
</file>