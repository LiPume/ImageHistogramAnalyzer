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e9f7777fc47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全ID验收记录" sheetId="1" r:id="Rd5865d6f79fb4d8c"/>
    <x:sheet xmlns:r="http://schemas.openxmlformats.org/officeDocument/2006/relationships" name="验收汇总" sheetId="2" r:id="R409d4810dcef4a7b"/>
    <x:sheet xmlns:r="http://schemas.openxmlformats.org/officeDocument/2006/relationships" name="测试图片说明" sheetId="3" r:id="Rd7004639f07c49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"/>
    <x:numFmt numFmtId="202" formatCode="0&quot;%&quot;"/>
    <x:numFmt numFmtId="203" formatCode="0.000"/>
  </x:numFmts>
  <x:fonts count="8">
    <x:font>
      <x:sz val="11"/>
      <x:name val="Carlito"/>
    </x:font>
    <x:font>
      <x:sz val="10"/>
      <x:color rgb="FF18324B"/>
      <x:name val="Aptos"/>
    </x:font>
    <x:font>
      <x:b/>
      <x:sz val="10"/>
      <x:color rgb="FFFFFFFF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1"/>
      <x:color rgb="FF2D7D68"/>
      <x:name val="Carlito"/>
    </x:font>
    <x:font>
      <x:b/>
      <x:sz val="11"/>
      <x:color rgb="FF9A67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C"/>
      </x:patternFill>
    </x:fill>
    <x:fill>
      <x:patternFill patternType="solid">
        <x:fgColor rgb="FFFFF0C2"/>
      </x:patternFill>
    </x:fill>
    <x:fill>
      <x:patternFill patternType="solid">
        <x:fgColor rgb="FFEDF5FF"/>
      </x:patternFill>
    </x:fill>
    <x:fill>
      <x:patternFill patternType="solid">
        <x:fgColor rgb="FFD9F2E8"/>
      </x:patternFill>
    </x:fill>
    <x:fill>
      <x:patternFill patternType="solid">
        <x:fgColor rgb="FFFFF9E8"/>
      </x:patternFill>
    </x:fill>
    <x:fill>
      <x:patternFill patternType="solid">
        <x:fgColor rgb="FF3A7FCC"/>
      </x:patternFill>
    </x:fill>
  </x:fills>
  <x:borders count="4">
    <x:border/>
    <x:border/>
    <x:border>
      <x:left style="thin">
        <x:color rgb="FFCCD8E5"/>
      </x:left>
      <x:right style="thin">
        <x:color rgb="FFCCD8E5"/>
      </x:right>
      <x:top style="thin">
        <x:color rgb="FFCCD8E5"/>
      </x:top>
      <x:bottom style="thin">
        <x:color rgb="FFCCD8E5"/>
      </x:bottom>
    </x:border>
    <x:border>
      <x:left style="thin">
        <x:color rgb="FFCCD8E5"/>
      </x:left>
      <x:right style="thin">
        <x:color rgb="FFCCD8E5"/>
      </x:right>
      <x:top style="thin">
        <x:color rgb="FFCCD8E5"/>
      </x:top>
      <x:bottom style="thin">
        <x:color rgb="FFCCD8E5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1" fillId="7" borderId="3" xfId="0" applyNumberFormat="1" applyFont="1" applyFill="1" applyBorder="1" applyAlignment="1">
      <x:alignment vertical="center" wrapText="1"/>
    </x:xf>
    <x:xf numFmtId="200" fontId="1" fillId="3" borderId="2" xfId="0" applyNumberFormat="1" applyFont="1" applyFill="1" applyBorder="1" applyAlignment="1">
      <x:alignment vertical="center"/>
    </x:xf>
    <x:xf numFmtId="200" fontId="1" fillId="3" borderId="3" xfId="0" applyNumberFormat="1" applyFont="1" applyFill="1" applyBorder="1" applyAlignment="1">
      <x:alignment vertical="center"/>
    </x:xf>
    <x:xf numFmtId="201" fontId="1" fillId="3" borderId="2" xfId="0" applyNumberFormat="1" applyFont="1" applyFill="1" applyBorder="1" applyAlignment="1">
      <x:alignment vertical="center"/>
    </x:xf>
    <x:xf numFmtId="201" fontId="1" fillId="3" borderId="3" xfId="0" applyNumberFormat="1" applyFont="1" applyFill="1" applyBorder="1" applyAlignment="1">
      <x:alignment vertical="center"/>
    </x:xf>
    <x:xf numFmtId="202" fontId="1" fillId="3" borderId="2" xfId="0" applyNumberFormat="1" applyFont="1" applyFill="1" applyBorder="1" applyAlignment="1">
      <x:alignment vertical="center"/>
    </x:xf>
    <x:xf numFmtId="202" fontId="1" fillId="3" borderId="3" xfId="0" applyNumberFormat="1" applyFont="1" applyFill="1" applyBorder="1" applyAlignment="1">
      <x:alignment vertical="center"/>
    </x:xf>
    <x:xf numFmtId="203" fontId="1" fillId="4" borderId="2" xfId="0" applyNumberFormat="1" applyFont="1" applyFill="1" applyBorder="1" applyAlignment="1">
      <x:alignment vertical="center"/>
    </x:xf>
    <x:xf numFmtId="203" fontId="1" fillId="5" borderId="2" xfId="0" applyNumberFormat="1" applyFont="1" applyFill="1" applyBorder="1" applyAlignment="1">
      <x:alignment vertical="center"/>
    </x:xf>
    <x:xf numFmtId="203" fontId="1" fillId="6" borderId="2" xfId="0" applyNumberFormat="1" applyFont="1" applyFill="1" applyBorder="1" applyAlignment="1">
      <x:alignment vertical="center"/>
    </x:xf>
    <x:xf numFmtId="203" fontId="1" fillId="4" borderId="3" xfId="0" applyNumberFormat="1" applyFont="1" applyFill="1" applyBorder="1" applyAlignment="1">
      <x:alignment vertical="center"/>
    </x:xf>
    <x:xf numFmtId="203" fontId="1" fillId="5" borderId="3" xfId="0" applyNumberFormat="1" applyFont="1" applyFill="1" applyBorder="1" applyAlignment="1">
      <x:alignment vertical="center"/>
    </x:xf>
    <x:xf numFmtId="203" fontId="1" fillId="6" borderId="3" xfId="0" applyNumberFormat="1" applyFont="1" applyFill="1" applyBorder="1" applyAlignment="1">
      <x:alignment vertical="center"/>
    </x:xf>
    <x:xf numFmtId="200" fontId="1" fillId="7" borderId="2" xfId="0" applyNumberFormat="1" applyFont="1" applyFill="1" applyBorder="1" applyAlignment="1">
      <x:alignment vertical="center"/>
    </x:xf>
    <x:xf numFmtId="200" fontId="1" fillId="7" borderId="3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8" borderId="2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4" fillId="8" borderId="2" xfId="0" applyNumberFormat="1" applyFont="1" applyFill="1" applyBorder="1" applyAlignment="1">
      <x:alignment vertical="center"/>
    </x:xf>
    <x:xf numFmtId="0" fontId="4" fillId="8" borderId="3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6" fillId="6" borderId="2" xfId="0" applyNumberFormat="1" applyFont="1" applyFill="1" applyBorder="1" applyAlignment="1">
      <x:alignment vertical="center"/>
    </x:xf>
    <x:xf numFmtId="0" fontId="6" fillId="6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8" borderId="2" xfId="0" applyNumberFormat="1" applyFont="1" applyFill="1" applyBorder="1" applyAlignment="1">
      <x:alignment wrapText="1"/>
    </x:xf>
    <x:xf numFmtId="0" fontId="0" fillId="8" borderId="3" xfId="0" applyNumberFormat="1" applyFont="1" applyFill="1" applyBorder="1" applyAlignment="1">
      <x:alignment wrapText="1"/>
    </x:xf>
    <x:xf numFmtId="0" fontId="4" fillId="8" borderId="2" xfId="0" applyNumberFormat="1" applyFont="1" applyFill="1" applyBorder="1" applyAlignment="1">
      <x:alignment wrapText="1"/>
    </x:xf>
    <x:xf numFmtId="0" fontId="4" fillId="8" borderId="3" xfId="0" applyNumberFormat="1" applyFont="1" applyFill="1" applyBorder="1" applyAlignment="1">
      <x:alignment wrapText="1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0" fillId="3" borderId="2" xfId="0" applyNumberFormat="1" applyFont="1" applyFill="1" applyBorder="1" applyAlignment="1">
      <x:alignment vertical="center"/>
    </x:xf>
    <x:xf numFmtId="200" fontId="0" fillId="3" borderId="3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2D7D68"/>
      </x:font>
      <x:fill>
        <x:patternFill patternType="solid">
          <x:bgColor rgb="FFD9F2E8"/>
        </x:patternFill>
      </x:fill>
    </x:dxf>
    <x:dxf>
      <x:font>
        <x:b/>
        <x:color rgb="FF2D7D68"/>
      </x:font>
      <x:fill>
        <x:patternFill patternType="solid">
          <x:bgColor rgb="FFD9F2E8"/>
        </x:patternFill>
      </x:fill>
    </x:dxf>
    <x:dxf>
      <x:font>
        <x:b/>
        <x:color rgb="FFA61B1B"/>
      </x:font>
      <x:fill>
        <x:patternFill patternType="solid">
          <x:bgColor rgb="FFFDE2E2"/>
        </x:patternFill>
      </x:fill>
    </x:dxf>
    <x:dxf>
      <x:font>
        <x:b/>
        <x:color rgb="FFA61B1B"/>
      </x:font>
      <x:fill>
        <x:patternFill patternType="solid">
          <x:bgColor rgb="FFFDE2E2"/>
        </x:patternFill>
      </x:fill>
    </x:dxf>
    <x:dxf>
      <x:font>
        <x:b/>
        <x:color rgb="FF2D7D68"/>
      </x:font>
      <x:fill>
        <x:patternFill patternType="solid">
          <x:bgColor rgb="FFD9F2E8"/>
        </x:patternFill>
      </x:fill>
    </x:dxf>
    <x:dxf>
      <x:font>
        <x:b/>
        <x:color rgb="FF2D7D68"/>
      </x:font>
      <x:fill>
        <x:patternFill patternType="solid">
          <x:bgColor rgb="FFD9F2E8"/>
        </x:patternFill>
      </x:fill>
    </x:dxf>
    <x:dxf>
      <x:font>
        <x:b/>
        <x:color rgb="FFA61B1B"/>
      </x:font>
      <x:fill>
        <x:patternFill patternType="solid">
          <x:bgColor rgb="FFFDE2E2"/>
        </x:patternFill>
      </x:fill>
    </x:dxf>
    <x:dxf>
      <x:font>
        <x:b/>
        <x:color rgb="FFA61B1B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de79ea85624b8d" /><Relationship Type="http://schemas.openxmlformats.org/officeDocument/2006/relationships/theme" Target="/xl/theme/theme1.xml" Id="Rf3dc89aa4be74c6f" /><Relationship Type="http://schemas.openxmlformats.org/officeDocument/2006/relationships/sharedStrings" Target="/xl/sharedStrings.xml" Id="R24add57119844483" /><Relationship Type="http://schemas.openxmlformats.org/officeDocument/2006/relationships/worksheet" Target="/xl/worksheets/sheet1.xml" Id="Rd5865d6f79fb4d8c" /><Relationship Type="http://schemas.openxmlformats.org/officeDocument/2006/relationships/worksheet" Target="/xl/worksheets/sheet2.xml" Id="R409d4810dcef4a7b" /><Relationship Type="http://schemas.openxmlformats.org/officeDocument/2006/relationships/worksheet" Target="/xl/worksheets/sheet3.xml" Id="Rd7004639f07c4933" /></Relationships>
</file>

<file path=xl/tables/table1.xml><?xml version="1.0" encoding="utf-8"?>
<x:table xmlns:x="http://schemas.openxmlformats.org/spreadsheetml/2006/main" id="1" name="FinalDeviceAcceptance" displayName="FinalDeviceAcceptance" ref="A1:AJ18" headerRowCount="1" totalsRowCount="0" totalsRowShown="0">
  <x:tableColumns count="36">
    <x:tableColumn id="1" name="图片ID"/>
    <x:tableColumn id="2" name="类别"/>
    <x:tableColumn id="3" name="文件名"/>
    <x:tableColumn id="4" name="分辨率"/>
    <x:tableColumn id="5" name="像素数"/>
    <x:tableColumn id="6" name="SHA-256"/>
    <x:tableColumn id="7" name="预期结果或用途"/>
    <x:tableColumn id="8" name="版本"/>
    <x:tableColumn id="9" name="Git提交"/>
    <x:tableColumn id="10" name="构建类型"/>
    <x:tableColumn id="11" name="设备"/>
    <x:tableColumn id="12" name="Android与OS"/>
    <x:tableColumn id="13" name="执行引擎"/>
    <x:tableColumn id="14" name="线程数"/>
    <x:tableColumn id="15" name="电量%"/>
    <x:tableColumn id="16" name="解码ms"/>
    <x:tableColumn id="17" name="A像素访问ms"/>
    <x:tableColumn id="18" name="A灰度转换ms"/>
    <x:tableColumn id="19" name="A频次统计ms"/>
    <x:tableColumn id="20" name="A归一化ms"/>
    <x:tableColumn id="21" name="A其他开销ms"/>
    <x:tableColumn id="22" name="A合并ms"/>
    <x:tableColumn id="23" name="A核心总计ms"/>
    <x:tableColumn id="24" name="B像素访问ms"/>
    <x:tableColumn id="25" name="B融合统计ms"/>
    <x:tableColumn id="26" name="B归一化ms"/>
    <x:tableColumn id="27" name="B其他开销ms"/>
    <x:tableColumn id="28" name="B合并ms"/>
    <x:tableColumn id="29" name="B核心总计ms"/>
    <x:tableColumn id="30" name="A最高频次"/>
    <x:tableColumn id="31" name="B最高频次"/>
    <x:tableColumn id="32" name="频次一致"/>
    <x:tableColumn id="33" name="实际质量"/>
    <x:tableColumn id="34" name="A低于300ms"/>
    <x:tableColumn id="35" name="B低于300ms"/>
    <x:tableColumn id="36" name="实际结果或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508ac299a545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8" hidden="0" customWidth="1"/>
    <x:col min="4" max="4" width="13" hidden="0" customWidth="1"/>
    <x:col min="5" max="5" width="13" hidden="0" customWidth="1"/>
    <x:col min="6" max="6" width="24" hidden="0" customWidth="1"/>
    <x:col min="7" max="7" width="38" hidden="0" customWidth="1"/>
    <x:col min="8" max="8" width="9" hidden="0" customWidth="1"/>
    <x:col min="9" max="9" width="11" hidden="0" customWidth="1"/>
    <x:col min="10" max="10" width="11" hidden="0" customWidth="1"/>
    <x:col min="11" max="11" width="14" hidden="0" customWidth="1"/>
    <x:col min="12" max="12" width="34" hidden="0" customWidth="1"/>
    <x:col min="13" max="13" width="20" hidden="0" customWidth="1"/>
    <x:col min="14" max="14" width="9" hidden="0" customWidth="1"/>
    <x:col min="15" max="15" width="9" hidden="0" customWidth="1"/>
    <x:col min="16" max="16" width="11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30" hidden="0" customWidth="1"/>
  </x:cols>
  <x:sheetData>
    <x:row r="1" ht="42" customHeight="1">
      <x:c r="A1" s="14" t="str">
        <x:v>图片ID</x:v>
      </x:c>
      <x:c r="B1" s="14" t="str">
        <x:v>类别</x:v>
      </x:c>
      <x:c r="C1" s="14" t="str">
        <x:v>文件名</x:v>
      </x:c>
      <x:c r="D1" s="14" t="str">
        <x:v>分辨率</x:v>
      </x:c>
      <x:c r="E1" s="14" t="str">
        <x:v>像素数</x:v>
      </x:c>
      <x:c r="F1" s="14" t="str">
        <x:v>SHA-256</x:v>
      </x:c>
      <x:c r="G1" s="14" t="str">
        <x:v>预期结果或用途</x:v>
      </x:c>
      <x:c r="H1" s="14" t="str">
        <x:v>版本</x:v>
      </x:c>
      <x:c r="I1" s="14" t="str">
        <x:v>Git提交</x:v>
      </x:c>
      <x:c r="J1" s="14" t="str">
        <x:v>构建类型</x:v>
      </x:c>
      <x:c r="K1" s="14" t="str">
        <x:v>设备</x:v>
      </x:c>
      <x:c r="L1" s="14" t="str">
        <x:v>Android与OS</x:v>
      </x:c>
      <x:c r="M1" s="14" t="str">
        <x:v>执行引擎</x:v>
      </x:c>
      <x:c r="N1" s="14" t="str">
        <x:v>线程数</x:v>
      </x:c>
      <x:c r="O1" s="14" t="str">
        <x:v>电量%</x:v>
      </x:c>
      <x:c r="P1" s="14" t="str">
        <x:v>解码ms</x:v>
      </x:c>
      <x:c r="Q1" s="14" t="str">
        <x:v>A像素访问ms</x:v>
      </x:c>
      <x:c r="R1" s="14" t="str">
        <x:v>A灰度转换ms</x:v>
      </x:c>
      <x:c r="S1" s="14" t="str">
        <x:v>A频次统计ms</x:v>
      </x:c>
      <x:c r="T1" s="14" t="str">
        <x:v>A归一化ms</x:v>
      </x:c>
      <x:c r="U1" s="14" t="str">
        <x:v>A其他开销ms</x:v>
      </x:c>
      <x:c r="V1" s="14" t="str">
        <x:v>A合并ms</x:v>
      </x:c>
      <x:c r="W1" s="14" t="str">
        <x:v>A核心总计ms</x:v>
      </x:c>
      <x:c r="X1" s="14" t="str">
        <x:v>B像素访问ms</x:v>
      </x:c>
      <x:c r="Y1" s="14" t="str">
        <x:v>B融合统计ms</x:v>
      </x:c>
      <x:c r="Z1" s="14" t="str">
        <x:v>B归一化ms</x:v>
      </x:c>
      <x:c r="AA1" s="14" t="str">
        <x:v>B其他开销ms</x:v>
      </x:c>
      <x:c r="AB1" s="14" t="str">
        <x:v>B合并ms</x:v>
      </x:c>
      <x:c r="AC1" s="14" t="str">
        <x:v>B核心总计ms</x:v>
      </x:c>
      <x:c r="AD1" s="14" t="str">
        <x:v>A最高频次</x:v>
      </x:c>
      <x:c r="AE1" s="14" t="str">
        <x:v>B最高频次</x:v>
      </x:c>
      <x:c r="AF1" s="14" t="str">
        <x:v>频次一致</x:v>
      </x:c>
      <x:c r="AG1" s="14" t="str">
        <x:v>实际质量</x:v>
      </x:c>
      <x:c r="AH1" s="14" t="str">
        <x:v>A低于300ms</x:v>
      </x:c>
      <x:c r="AI1" s="14" t="str">
        <x:v>B低于300ms</x:v>
      </x:c>
      <x:c r="AJ1" s="14" t="str">
        <x:v>实际结果或备注</x:v>
      </x:c>
    </x:row>
    <x:row r="2" ht="34" customHeight="1">
      <x:c r="A2" s="16" t="str">
        <x:v>S01</x:v>
      </x:c>
      <x:c r="B2" s="16" t="str">
        <x:v>合成正确性</x:v>
      </x:c>
      <x:c r="C2" s="26" t="str">
        <x:v>01_black_256.png</x:v>
      </x:c>
      <x:c r="D2" s="16" t="str">
        <x:v>256×256</x:v>
      </x:c>
      <x:c r="E2" s="30" t="str">
        <x:v>65536</x:v>
      </x:c>
      <x:c r="F2" s="26" t="str">
        <x:v>83efca097265b674fa6af57c9e6e9f667cb32a19f1da46f794995e88837713ec</x:v>
      </x:c>
      <x:c r="G2" s="26" t="str">
        <x:v>bin 0=65536；偏暗</x:v>
      </x:c>
      <x:c r="H2" s="32" t="str">
        <x:v>3.0</x:v>
      </x:c>
      <x:c r="I2" s="16" t="str">
        <x:v>2b56d94</x:v>
      </x:c>
      <x:c r="J2" s="16" t="str">
        <x:v>Debug</x:v>
      </x:c>
      <x:c r="K2" s="16" t="str">
        <x:v>Xiaomi 14</x:v>
      </x:c>
      <x:c r="L2" s="16" t="str">
        <x:v>Android 16 / HyperOS 3.0.303.0.WNCCNXM.C09</x:v>
      </x:c>
      <x:c r="M2" s="16" t="str">
        <x:v>Native 多线程 v3.0</x:v>
      </x:c>
      <x:c r="N2" s="16" t="str">
        <x:v>8</x:v>
      </x:c>
      <x:c r="O2" s="34" t="str"/>
      <x:c r="P2" s="36" t="str"/>
      <x:c r="Q2" s="37" t="str"/>
      <x:c r="R2" s="37" t="str"/>
      <x:c r="S2" s="37" t="str"/>
      <x:c r="T2" s="37" t="str"/>
      <x:c r="U2" s="37" t="str"/>
      <x:c r="V2" s="37" t="str"/>
      <x:c r="W2" s="37" t="str"/>
      <x:c r="X2" s="38" t="str"/>
      <x:c r="Y2" s="38" t="str"/>
      <x:c r="Z2" s="38" t="str"/>
      <x:c r="AA2" s="38" t="str"/>
      <x:c r="AB2" s="38" t="str"/>
      <x:c r="AC2" s="38" t="str"/>
      <x:c r="AD2" s="42" t="str"/>
      <x:c r="AE2" s="42" t="str"/>
      <x:c r="AF2" s="24" t="str">
        <x:f>IF(OR(AD2="",AE2=""),"待测",IF(AD2=AE2,"一致","不一致"))</x:f>
        <x:v>待测</x:v>
      </x:c>
      <x:c r="AG2" s="24" t="str"/>
      <x:c r="AH2" s="24" t="str">
        <x:f>IF(W2="","待测",IF(W2&lt;300,"达标","未达标"))</x:f>
        <x:v>待测</x:v>
      </x:c>
      <x:c r="AI2" s="24" t="str">
        <x:f>IF(AC2="","待测",IF(AC2&lt;300,"达标","未达标"))</x:f>
        <x:v>待测</x:v>
      </x:c>
      <x:c r="AJ2" s="28" t="str"/>
    </x:row>
    <x:row r="3" ht="34" customHeight="1">
      <x:c r="A3" s="16" t="str">
        <x:v>S02</x:v>
      </x:c>
      <x:c r="B3" s="16" t="str">
        <x:v>合成正确性</x:v>
      </x:c>
      <x:c r="C3" s="26" t="str">
        <x:v>02_white_256.png</x:v>
      </x:c>
      <x:c r="D3" s="16" t="str">
        <x:v>256×256</x:v>
      </x:c>
      <x:c r="E3" s="30" t="str">
        <x:v>65536</x:v>
      </x:c>
      <x:c r="F3" s="26" t="str">
        <x:v>3408dfdcac0e2a40c24326dd59bfda33af912429b8a98482038dcdd6e036ed8a</x:v>
      </x:c>
      <x:c r="G3" s="26" t="str">
        <x:v>bin 255=65536；偏亮</x:v>
      </x:c>
      <x:c r="H3" s="32" t="str">
        <x:v>3.0</x:v>
      </x:c>
      <x:c r="I3" s="16" t="str">
        <x:v>2b56d94</x:v>
      </x:c>
      <x:c r="J3" s="16" t="str">
        <x:v>Debug</x:v>
      </x:c>
      <x:c r="K3" s="16" t="str">
        <x:v>Xiaomi 14</x:v>
      </x:c>
      <x:c r="L3" s="16" t="str">
        <x:v>Android 16 / HyperOS 3.0.303.0.WNCCNXM.C09</x:v>
      </x:c>
      <x:c r="M3" s="16" t="str">
        <x:v>Native 多线程 v3.0</x:v>
      </x:c>
      <x:c r="N3" s="16" t="str">
        <x:v>8</x:v>
      </x:c>
      <x:c r="O3" s="34" t="str"/>
      <x:c r="P3" s="36" t="str"/>
      <x:c r="Q3" s="37" t="str"/>
      <x:c r="R3" s="37" t="str"/>
      <x:c r="S3" s="37" t="str"/>
      <x:c r="T3" s="37" t="str"/>
      <x:c r="U3" s="37" t="str"/>
      <x:c r="V3" s="37" t="str"/>
      <x:c r="W3" s="37" t="str"/>
      <x:c r="X3" s="38" t="str"/>
      <x:c r="Y3" s="38" t="str"/>
      <x:c r="Z3" s="38" t="str"/>
      <x:c r="AA3" s="38" t="str"/>
      <x:c r="AB3" s="38" t="str"/>
      <x:c r="AC3" s="38" t="str"/>
      <x:c r="AD3" s="42" t="str"/>
      <x:c r="AE3" s="42" t="str"/>
      <x:c r="AF3" s="24" t="str">
        <x:f>IF(OR(AD3="",AE3=""),"待测",IF(AD3=AE3,"一致","不一致"))</x:f>
        <x:v>待测</x:v>
      </x:c>
      <x:c r="AG3" s="24" t="str"/>
      <x:c r="AH3" s="24" t="str">
        <x:f>IF(W3="","待测",IF(W3&lt;300,"达标","未达标"))</x:f>
        <x:v>待测</x:v>
      </x:c>
      <x:c r="AI3" s="24" t="str">
        <x:f>IF(AC3="","待测",IF(AC3&lt;300,"达标","未达标"))</x:f>
        <x:v>待测</x:v>
      </x:c>
      <x:c r="AJ3" s="28" t="str"/>
    </x:row>
    <x:row r="4" ht="34" customHeight="1">
      <x:c r="A4" s="16" t="str">
        <x:v>S03</x:v>
      </x:c>
      <x:c r="B4" s="16" t="str">
        <x:v>合成正确性</x:v>
      </x:c>
      <x:c r="C4" s="26" t="str">
        <x:v>03_dark_gray80_256.png</x:v>
      </x:c>
      <x:c r="D4" s="16" t="str">
        <x:v>256×256</x:v>
      </x:c>
      <x:c r="E4" s="30" t="str">
        <x:v>65536</x:v>
      </x:c>
      <x:c r="F4" s="26" t="str">
        <x:v>68bd27a8df7ff3fcf3d1934d218147cfba9d4d0297dcda621283d3bf1ec2c867</x:v>
      </x:c>
      <x:c r="G4" s="26" t="str">
        <x:v>bin 80=65536；偏暗</x:v>
      </x:c>
      <x:c r="H4" s="32" t="str">
        <x:v>3.0</x:v>
      </x:c>
      <x:c r="I4" s="16" t="str">
        <x:v>2b56d94</x:v>
      </x:c>
      <x:c r="J4" s="16" t="str">
        <x:v>Debug</x:v>
      </x:c>
      <x:c r="K4" s="16" t="str">
        <x:v>Xiaomi 14</x:v>
      </x:c>
      <x:c r="L4" s="16" t="str">
        <x:v>Android 16 / HyperOS 3.0.303.0.WNCCNXM.C09</x:v>
      </x:c>
      <x:c r="M4" s="16" t="str">
        <x:v>Native 多线程 v3.0</x:v>
      </x:c>
      <x:c r="N4" s="16" t="str">
        <x:v>8</x:v>
      </x:c>
      <x:c r="O4" s="34" t="str"/>
      <x:c r="P4" s="36" t="str"/>
      <x:c r="Q4" s="37" t="str"/>
      <x:c r="R4" s="37" t="str"/>
      <x:c r="S4" s="37" t="str"/>
      <x:c r="T4" s="37" t="str"/>
      <x:c r="U4" s="37" t="str"/>
      <x:c r="V4" s="37" t="str"/>
      <x:c r="W4" s="37" t="str"/>
      <x:c r="X4" s="38" t="str"/>
      <x:c r="Y4" s="38" t="str"/>
      <x:c r="Z4" s="38" t="str"/>
      <x:c r="AA4" s="38" t="str"/>
      <x:c r="AB4" s="38" t="str"/>
      <x:c r="AC4" s="38" t="str"/>
      <x:c r="AD4" s="42" t="str"/>
      <x:c r="AE4" s="42" t="str"/>
      <x:c r="AF4" s="24" t="str">
        <x:f>IF(OR(AD4="",AE4=""),"待测",IF(AD4=AE4,"一致","不一致"))</x:f>
        <x:v>待测</x:v>
      </x:c>
      <x:c r="AG4" s="24" t="str"/>
      <x:c r="AH4" s="24" t="str">
        <x:f>IF(W4="","待测",IF(W4&lt;300,"达标","未达标"))</x:f>
        <x:v>待测</x:v>
      </x:c>
      <x:c r="AI4" s="24" t="str">
        <x:f>IF(AC4="","待测",IF(AC4&lt;300,"达标","未达标"))</x:f>
        <x:v>待测</x:v>
      </x:c>
      <x:c r="AJ4" s="28" t="str"/>
    </x:row>
    <x:row r="5" ht="34" customHeight="1">
      <x:c r="A5" s="16" t="str">
        <x:v>S04</x:v>
      </x:c>
      <x:c r="B5" s="16" t="str">
        <x:v>合成正确性</x:v>
      </x:c>
      <x:c r="C5" s="26" t="str">
        <x:v>04_bright_gray180_256.png</x:v>
      </x:c>
      <x:c r="D5" s="16" t="str">
        <x:v>256×256</x:v>
      </x:c>
      <x:c r="E5" s="30" t="str">
        <x:v>65536</x:v>
      </x:c>
      <x:c r="F5" s="26" t="str">
        <x:v>a95b9aeda4b5e7b2901139c38f0a31d13ef45eec0a90c79697db59aea20371d4</x:v>
      </x:c>
      <x:c r="G5" s="26" t="str">
        <x:v>bin 180=65536；偏亮</x:v>
      </x:c>
      <x:c r="H5" s="32" t="str">
        <x:v>3.0</x:v>
      </x:c>
      <x:c r="I5" s="16" t="str">
        <x:v>2b56d94</x:v>
      </x:c>
      <x:c r="J5" s="16" t="str">
        <x:v>Debug</x:v>
      </x:c>
      <x:c r="K5" s="16" t="str">
        <x:v>Xiaomi 14</x:v>
      </x:c>
      <x:c r="L5" s="16" t="str">
        <x:v>Android 16 / HyperOS 3.0.303.0.WNCCNXM.C09</x:v>
      </x:c>
      <x:c r="M5" s="16" t="str">
        <x:v>Native 多线程 v3.0</x:v>
      </x:c>
      <x:c r="N5" s="16" t="str">
        <x:v>8</x:v>
      </x:c>
      <x:c r="O5" s="34" t="str"/>
      <x:c r="P5" s="36" t="str"/>
      <x:c r="Q5" s="37" t="str"/>
      <x:c r="R5" s="37" t="str"/>
      <x:c r="S5" s="37" t="str"/>
      <x:c r="T5" s="37" t="str"/>
      <x:c r="U5" s="37" t="str"/>
      <x:c r="V5" s="37" t="str"/>
      <x:c r="W5" s="37" t="str"/>
      <x:c r="X5" s="38" t="str"/>
      <x:c r="Y5" s="38" t="str"/>
      <x:c r="Z5" s="38" t="str"/>
      <x:c r="AA5" s="38" t="str"/>
      <x:c r="AB5" s="38" t="str"/>
      <x:c r="AC5" s="38" t="str"/>
      <x:c r="AD5" s="42" t="str"/>
      <x:c r="AE5" s="42" t="str"/>
      <x:c r="AF5" s="24" t="str">
        <x:f>IF(OR(AD5="",AE5=""),"待测",IF(AD5=AE5,"一致","不一致"))</x:f>
        <x:v>待测</x:v>
      </x:c>
      <x:c r="AG5" s="24" t="str"/>
      <x:c r="AH5" s="24" t="str">
        <x:f>IF(W5="","待测",IF(W5&lt;300,"达标","未达标"))</x:f>
        <x:v>待测</x:v>
      </x:c>
      <x:c r="AI5" s="24" t="str">
        <x:f>IF(AC5="","待测",IF(AC5&lt;300,"达标","未达标"))</x:f>
        <x:v>待测</x:v>
      </x:c>
      <x:c r="AJ5" s="28" t="str"/>
    </x:row>
    <x:row r="6" ht="34" customHeight="1">
      <x:c r="A6" s="16" t="str">
        <x:v>S05</x:v>
      </x:c>
      <x:c r="B6" s="16" t="str">
        <x:v>合成正确性</x:v>
      </x:c>
      <x:c r="C6" s="26" t="str">
        <x:v>05_low_contrast_112_144.png</x:v>
      </x:c>
      <x:c r="D6" s="16" t="str">
        <x:v>256×256</x:v>
      </x:c>
      <x:c r="E6" s="30" t="str">
        <x:v>65536</x:v>
      </x:c>
      <x:c r="F6" s="26" t="str">
        <x:v>3c2f0eab485039e38232e1743d6d43c9936ea48453dff7fb4d5794b0ce3bd0ca</x:v>
      </x:c>
      <x:c r="G6" s="26" t="str">
        <x:v>最高频次2048；平均127.609；标准差9.397；低对比度</x:v>
      </x:c>
      <x:c r="H6" s="32" t="str">
        <x:v>3.0</x:v>
      </x:c>
      <x:c r="I6" s="16" t="str">
        <x:v>2b56d94</x:v>
      </x:c>
      <x:c r="J6" s="16" t="str">
        <x:v>Debug</x:v>
      </x:c>
      <x:c r="K6" s="16" t="str">
        <x:v>Xiaomi 14</x:v>
      </x:c>
      <x:c r="L6" s="16" t="str">
        <x:v>Android 16 / HyperOS 3.0.303.0.WNCCNXM.C09</x:v>
      </x:c>
      <x:c r="M6" s="16" t="str">
        <x:v>Native 多线程 v3.0</x:v>
      </x:c>
      <x:c r="N6" s="16" t="str">
        <x:v>8</x:v>
      </x:c>
      <x:c r="O6" s="34" t="str"/>
      <x:c r="P6" s="36" t="str"/>
      <x:c r="Q6" s="37" t="str"/>
      <x:c r="R6" s="37" t="str"/>
      <x:c r="S6" s="37" t="str"/>
      <x:c r="T6" s="37" t="str"/>
      <x:c r="U6" s="37" t="str"/>
      <x:c r="V6" s="37" t="str"/>
      <x:c r="W6" s="37" t="str"/>
      <x:c r="X6" s="38" t="str"/>
      <x:c r="Y6" s="38" t="str"/>
      <x:c r="Z6" s="38" t="str"/>
      <x:c r="AA6" s="38" t="str"/>
      <x:c r="AB6" s="38" t="str"/>
      <x:c r="AC6" s="38" t="str"/>
      <x:c r="AD6" s="42" t="str"/>
      <x:c r="AE6" s="42" t="str"/>
      <x:c r="AF6" s="24" t="str">
        <x:f>IF(OR(AD6="",AE6=""),"待测",IF(AD6=AE6,"一致","不一致"))</x:f>
        <x:v>待测</x:v>
      </x:c>
      <x:c r="AG6" s="24" t="str"/>
      <x:c r="AH6" s="24" t="str">
        <x:f>IF(W6="","待测",IF(W6&lt;300,"达标","未达标"))</x:f>
        <x:v>待测</x:v>
      </x:c>
      <x:c r="AI6" s="24" t="str">
        <x:f>IF(AC6="","待测",IF(AC6&lt;300,"达标","未达标"))</x:f>
        <x:v>待测</x:v>
      </x:c>
      <x:c r="AJ6" s="28" t="str"/>
    </x:row>
    <x:row r="7" ht="34" customHeight="1">
      <x:c r="A7" s="16" t="str">
        <x:v>S06</x:v>
      </x:c>
      <x:c r="B7" s="16" t="str">
        <x:v>合成正确性</x:v>
      </x:c>
      <x:c r="C7" s="26" t="str">
        <x:v>06_normal_contrast_64_192.png</x:v>
      </x:c>
      <x:c r="D7" s="16" t="str">
        <x:v>256×256</x:v>
      </x:c>
      <x:c r="E7" s="30" t="str">
        <x:v>65536</x:v>
      </x:c>
      <x:c r="F7" s="26" t="str">
        <x:v>60dadf379ec7e67cc06e2ef7c8d271ec413371063fb407c0a395954a55fa84f2</x:v>
      </x:c>
      <x:c r="G7" s="26" t="str">
        <x:v>bin 64/192各32768；正常</x:v>
      </x:c>
      <x:c r="H7" s="32" t="str">
        <x:v>3.0</x:v>
      </x:c>
      <x:c r="I7" s="16" t="str">
        <x:v>2b56d94</x:v>
      </x:c>
      <x:c r="J7" s="16" t="str">
        <x:v>Debug</x:v>
      </x:c>
      <x:c r="K7" s="16" t="str">
        <x:v>Xiaomi 14</x:v>
      </x:c>
      <x:c r="L7" s="16" t="str">
        <x:v>Android 16 / HyperOS 3.0.303.0.WNCCNXM.C09</x:v>
      </x:c>
      <x:c r="M7" s="16" t="str">
        <x:v>Native 多线程 v3.0</x:v>
      </x:c>
      <x:c r="N7" s="16" t="str">
        <x:v>8</x:v>
      </x:c>
      <x:c r="O7" s="34" t="str"/>
      <x:c r="P7" s="36" t="str"/>
      <x:c r="Q7" s="37" t="str"/>
      <x:c r="R7" s="37" t="str"/>
      <x:c r="S7" s="37" t="str"/>
      <x:c r="T7" s="37" t="str"/>
      <x:c r="U7" s="37" t="str"/>
      <x:c r="V7" s="37" t="str"/>
      <x:c r="W7" s="37" t="str"/>
      <x:c r="X7" s="38" t="str"/>
      <x:c r="Y7" s="38" t="str"/>
      <x:c r="Z7" s="38" t="str"/>
      <x:c r="AA7" s="38" t="str"/>
      <x:c r="AB7" s="38" t="str"/>
      <x:c r="AC7" s="38" t="str"/>
      <x:c r="AD7" s="42" t="str"/>
      <x:c r="AE7" s="42" t="str"/>
      <x:c r="AF7" s="24" t="str">
        <x:f>IF(OR(AD7="",AE7=""),"待测",IF(AD7=AE7,"一致","不一致"))</x:f>
        <x:v>待测</x:v>
      </x:c>
      <x:c r="AG7" s="24" t="str"/>
      <x:c r="AH7" s="24" t="str">
        <x:f>IF(W7="","待测",IF(W7&lt;300,"达标","未达标"))</x:f>
        <x:v>待测</x:v>
      </x:c>
      <x:c r="AI7" s="24" t="str">
        <x:f>IF(AC7="","待测",IF(AC7&lt;300,"达标","未达标"))</x:f>
        <x:v>待测</x:v>
      </x:c>
      <x:c r="AJ7" s="28" t="str"/>
    </x:row>
    <x:row r="8" ht="34" customHeight="1">
      <x:c r="A8" s="16" t="str">
        <x:v>S07</x:v>
      </x:c>
      <x:c r="B8" s="16" t="str">
        <x:v>公式正确性</x:v>
      </x:c>
      <x:c r="C8" s="26" t="str">
        <x:v>07_rgb_primary_300x100.png</x:v>
      </x:c>
      <x:c r="D8" s="16" t="str">
        <x:v>300×100</x:v>
      </x:c>
      <x:c r="E8" s="30" t="str">
        <x:v>30000</x:v>
      </x:c>
      <x:c r="F8" s="26" t="str">
        <x:v>46ba4308a1c26e6da200b78513938c844da9c66a5a4eb736b51780b29276a726</x:v>
      </x:c>
      <x:c r="G8" s="26" t="str">
        <x:v>R/G/B落入bin 76/150/29且各10000；正常</x:v>
      </x:c>
      <x:c r="H8" s="32" t="str">
        <x:v>3.0</x:v>
      </x:c>
      <x:c r="I8" s="16" t="str">
        <x:v>2b56d94</x:v>
      </x:c>
      <x:c r="J8" s="16" t="str">
        <x:v>Debug</x:v>
      </x:c>
      <x:c r="K8" s="16" t="str">
        <x:v>Xiaomi 14</x:v>
      </x:c>
      <x:c r="L8" s="16" t="str">
        <x:v>Android 16 / HyperOS 3.0.303.0.WNCCNXM.C09</x:v>
      </x:c>
      <x:c r="M8" s="16" t="str">
        <x:v>Native 多线程 v3.0</x:v>
      </x:c>
      <x:c r="N8" s="16" t="str">
        <x:v>8</x:v>
      </x:c>
      <x:c r="O8" s="34" t="str"/>
      <x:c r="P8" s="36" t="str"/>
      <x:c r="Q8" s="37" t="str"/>
      <x:c r="R8" s="37" t="str"/>
      <x:c r="S8" s="37" t="str"/>
      <x:c r="T8" s="37" t="str"/>
      <x:c r="U8" s="37" t="str"/>
      <x:c r="V8" s="37" t="str"/>
      <x:c r="W8" s="37" t="str"/>
      <x:c r="X8" s="38" t="str"/>
      <x:c r="Y8" s="38" t="str"/>
      <x:c r="Z8" s="38" t="str"/>
      <x:c r="AA8" s="38" t="str"/>
      <x:c r="AB8" s="38" t="str"/>
      <x:c r="AC8" s="38" t="str"/>
      <x:c r="AD8" s="42" t="str"/>
      <x:c r="AE8" s="42" t="str"/>
      <x:c r="AF8" s="24" t="str">
        <x:f>IF(OR(AD8="",AE8=""),"待测",IF(AD8=AE8,"一致","不一致"))</x:f>
        <x:v>待测</x:v>
      </x:c>
      <x:c r="AG8" s="24" t="str"/>
      <x:c r="AH8" s="24" t="str">
        <x:f>IF(W8="","待测",IF(W8&lt;300,"达标","未达标"))</x:f>
        <x:v>待测</x:v>
      </x:c>
      <x:c r="AI8" s="24" t="str">
        <x:f>IF(AC8="","待测",IF(AC8&lt;300,"达标","未达标"))</x:f>
        <x:v>待测</x:v>
      </x:c>
      <x:c r="AJ8" s="28" t="str"/>
    </x:row>
    <x:row r="9" ht="34" customHeight="1">
      <x:c r="A9" s="16" t="str">
        <x:v>S08</x:v>
      </x:c>
      <x:c r="B9" s="16" t="str">
        <x:v>透明兼容性</x:v>
      </x:c>
      <x:c r="C9" s="26" t="str">
        <x:v>08_alpha_red_checker_256.png</x:v>
      </x:c>
      <x:c r="D9" s="16" t="str">
        <x:v>256×256</x:v>
      </x:c>
      <x:c r="E9" s="30" t="str">
        <x:v>65536</x:v>
      </x:c>
      <x:c r="F9" s="26" t="str">
        <x:v>0eb44ca3e7e01965f1dbb24f41ec6054fbe70cf493c62afc869c9294dcc26e9a</x:v>
      </x:c>
      <x:c r="G9" s="26" t="str">
        <x:v>半透明与不透明红色；两方案一致</x:v>
      </x:c>
      <x:c r="H9" s="32" t="str">
        <x:v>3.0</x:v>
      </x:c>
      <x:c r="I9" s="16" t="str">
        <x:v>2b56d94</x:v>
      </x:c>
      <x:c r="J9" s="16" t="str">
        <x:v>Debug</x:v>
      </x:c>
      <x:c r="K9" s="16" t="str">
        <x:v>Xiaomi 14</x:v>
      </x:c>
      <x:c r="L9" s="16" t="str">
        <x:v>Android 16 / HyperOS 3.0.303.0.WNCCNXM.C09</x:v>
      </x:c>
      <x:c r="M9" s="16" t="str">
        <x:v>Native 多线程 v3.0</x:v>
      </x:c>
      <x:c r="N9" s="16" t="str">
        <x:v>8</x:v>
      </x:c>
      <x:c r="O9" s="34" t="str"/>
      <x:c r="P9" s="36" t="str"/>
      <x:c r="Q9" s="37" t="str"/>
      <x:c r="R9" s="37" t="str"/>
      <x:c r="S9" s="37" t="str"/>
      <x:c r="T9" s="37" t="str"/>
      <x:c r="U9" s="37" t="str"/>
      <x:c r="V9" s="37" t="str"/>
      <x:c r="W9" s="37" t="str"/>
      <x:c r="X9" s="38" t="str"/>
      <x:c r="Y9" s="38" t="str"/>
      <x:c r="Z9" s="38" t="str"/>
      <x:c r="AA9" s="38" t="str"/>
      <x:c r="AB9" s="38" t="str"/>
      <x:c r="AC9" s="38" t="str"/>
      <x:c r="AD9" s="42" t="str"/>
      <x:c r="AE9" s="42" t="str"/>
      <x:c r="AF9" s="24" t="str">
        <x:f>IF(OR(AD9="",AE9=""),"待测",IF(AD9=AE9,"一致","不一致"))</x:f>
        <x:v>待测</x:v>
      </x:c>
      <x:c r="AG9" s="24" t="str"/>
      <x:c r="AH9" s="24" t="str">
        <x:f>IF(W9="","待测",IF(W9&lt;300,"达标","未达标"))</x:f>
        <x:v>待测</x:v>
      </x:c>
      <x:c r="AI9" s="24" t="str">
        <x:f>IF(AC9="","待测",IF(AC9&lt;300,"达标","未达标"))</x:f>
        <x:v>待测</x:v>
      </x:c>
      <x:c r="AJ9" s="28" t="str"/>
    </x:row>
    <x:row r="10" ht="34" customHeight="1">
      <x:c r="A10" s="16" t="str">
        <x:v>L1</x:v>
      </x:c>
      <x:c r="B10" s="16" t="str">
        <x:v>正式性能</x:v>
      </x:c>
      <x:c r="C10" s="26" t="str">
        <x:v>09_performance_gradient_3072x4096.png</x:v>
      </x:c>
      <x:c r="D10" s="16" t="str">
        <x:v>3072×4096</x:v>
      </x:c>
      <x:c r="E10" s="30" t="str">
        <x:v>12582912</x:v>
      </x:c>
      <x:c r="F10" s="26" t="str">
        <x:v>783198e25198cb7fabb18db9f690224bb4402fcb27737f46c81c1b11a2f5daec</x:v>
      </x:c>
      <x:c r="G10" s="26" t="str">
        <x:v>最高频次75787；平均127.001；正常；两方案核心均低于300ms</x:v>
      </x:c>
      <x:c r="H10" s="32" t="str">
        <x:v>3.0</x:v>
      </x:c>
      <x:c r="I10" s="16" t="str">
        <x:v>2b56d94</x:v>
      </x:c>
      <x:c r="J10" s="16" t="str">
        <x:v>Debug</x:v>
      </x:c>
      <x:c r="K10" s="16" t="str">
        <x:v>Xiaomi 14</x:v>
      </x:c>
      <x:c r="L10" s="16" t="str">
        <x:v>Android 16 / HyperOS 3.0.303.0.WNCCNXM.C09</x:v>
      </x:c>
      <x:c r="M10" s="16" t="str">
        <x:v>Native 多线程 v3.0</x:v>
      </x:c>
      <x:c r="N10" s="16" t="str">
        <x:v>8</x:v>
      </x:c>
      <x:c r="O10" s="34" t="str"/>
      <x:c r="P10" s="36" t="str"/>
      <x:c r="Q10" s="37" t="str"/>
      <x:c r="R10" s="37" t="str"/>
      <x:c r="S10" s="37" t="str"/>
      <x:c r="T10" s="37" t="str"/>
      <x:c r="U10" s="37" t="str"/>
      <x:c r="V10" s="37" t="str"/>
      <x:c r="W10" s="37" t="str"/>
      <x:c r="X10" s="38" t="str"/>
      <x:c r="Y10" s="38" t="str"/>
      <x:c r="Z10" s="38" t="str"/>
      <x:c r="AA10" s="38" t="str"/>
      <x:c r="AB10" s="38" t="str"/>
      <x:c r="AC10" s="38" t="str"/>
      <x:c r="AD10" s="42" t="str"/>
      <x:c r="AE10" s="42" t="str"/>
      <x:c r="AF10" s="24" t="str">
        <x:f>IF(OR(AD10="",AE10=""),"待测",IF(AD10=AE10,"一致","不一致"))</x:f>
        <x:v>待测</x:v>
      </x:c>
      <x:c r="AG10" s="24" t="str"/>
      <x:c r="AH10" s="24" t="str">
        <x:f>IF(W10="","待测",IF(W10&lt;300,"达标","未达标"))</x:f>
        <x:v>待测</x:v>
      </x:c>
      <x:c r="AI10" s="24" t="str">
        <x:f>IF(AC10="","待测",IF(AC10&lt;300,"达标","未达标"))</x:f>
        <x:v>待测</x:v>
      </x:c>
      <x:c r="AJ10" s="28" t="str"/>
    </x:row>
    <x:row r="11" ht="34" customHeight="1">
      <x:c r="A11" s="16" t="str">
        <x:v>B01</x:v>
      </x:c>
      <x:c r="B11" s="16" t="str">
        <x:v>像素上限</x:v>
      </x:c>
      <x:c r="C11" s="26" t="str">
        <x:v>10_max_valid_4000x4000.png</x:v>
      </x:c>
      <x:c r="D11" s="16" t="str">
        <x:v>4000×4000</x:v>
      </x:c>
      <x:c r="E11" s="30" t="str">
        <x:v>16000000</x:v>
      </x:c>
      <x:c r="F11" s="26" t="str">
        <x:v>0f4292ef933523ac3e6d685e32f1b8916be3b0f256c2ee7c5914220b061b07fb</x:v>
      </x:c>
      <x:c r="G11" s="26" t="str">
        <x:v>恰好1600万像素；应允许；最高频次16000000；低对比度</x:v>
      </x:c>
      <x:c r="H11" s="32" t="str">
        <x:v>3.0</x:v>
      </x:c>
      <x:c r="I11" s="16" t="str">
        <x:v>2b56d94</x:v>
      </x:c>
      <x:c r="J11" s="16" t="str">
        <x:v>Debug</x:v>
      </x:c>
      <x:c r="K11" s="16" t="str">
        <x:v>Xiaomi 14</x:v>
      </x:c>
      <x:c r="L11" s="16" t="str">
        <x:v>Android 16 / HyperOS 3.0.303.0.WNCCNXM.C09</x:v>
      </x:c>
      <x:c r="M11" s="16" t="str">
        <x:v>Native 多线程 v3.0</x:v>
      </x:c>
      <x:c r="N11" s="16" t="str">
        <x:v>8</x:v>
      </x:c>
      <x:c r="O11" s="34" t="str"/>
      <x:c r="P11" s="36" t="str"/>
      <x:c r="Q11" s="37" t="str"/>
      <x:c r="R11" s="37" t="str"/>
      <x:c r="S11" s="37" t="str"/>
      <x:c r="T11" s="37" t="str"/>
      <x:c r="U11" s="37" t="str"/>
      <x:c r="V11" s="37" t="str"/>
      <x:c r="W11" s="37" t="str"/>
      <x:c r="X11" s="38" t="str"/>
      <x:c r="Y11" s="38" t="str"/>
      <x:c r="Z11" s="38" t="str"/>
      <x:c r="AA11" s="38" t="str"/>
      <x:c r="AB11" s="38" t="str"/>
      <x:c r="AC11" s="38" t="str"/>
      <x:c r="AD11" s="42" t="str"/>
      <x:c r="AE11" s="42" t="str"/>
      <x:c r="AF11" s="24" t="str">
        <x:f>IF(OR(AD11="",AE11=""),"待测",IF(AD11=AE11,"一致","不一致"))</x:f>
        <x:v>待测</x:v>
      </x:c>
      <x:c r="AG11" s="24" t="str"/>
      <x:c r="AH11" s="24" t="str">
        <x:f>IF(W11="","待测",IF(W11&lt;300,"达标","未达标"))</x:f>
        <x:v>待测</x:v>
      </x:c>
      <x:c r="AI11" s="24" t="str">
        <x:f>IF(AC11="","待测",IF(AC11&lt;300,"达标","未达标"))</x:f>
        <x:v>待测</x:v>
      </x:c>
      <x:c r="AJ11" s="28" t="str"/>
    </x:row>
    <x:row r="12" ht="34" customHeight="1">
      <x:c r="A12" s="16" t="str">
        <x:v>B02</x:v>
      </x:c>
      <x:c r="B12" s="16" t="str">
        <x:v>超限错误</x:v>
      </x:c>
      <x:c r="C12" s="26" t="str">
        <x:v>11_over_limit_4001x4000.png</x:v>
      </x:c>
      <x:c r="D12" s="16" t="str">
        <x:v>4001×4000</x:v>
      </x:c>
      <x:c r="E12" s="30" t="str">
        <x:v>16004000</x:v>
      </x:c>
      <x:c r="F12" s="26" t="str">
        <x:v>13d1b4960b81e32c9ac7b356d3fe86bae33906fbdc22e92f0fcfd10c565e6b26</x:v>
      </x:c>
      <x:c r="G12" s="26" t="str">
        <x:v>超过1600万像素；应在计算前拒绝</x:v>
      </x:c>
      <x:c r="H12" s="32" t="str">
        <x:v>3.0</x:v>
      </x:c>
      <x:c r="I12" s="16" t="str">
        <x:v>2b56d94</x:v>
      </x:c>
      <x:c r="J12" s="16" t="str">
        <x:v>Debug</x:v>
      </x:c>
      <x:c r="K12" s="16" t="str">
        <x:v>Xiaomi 14</x:v>
      </x:c>
      <x:c r="L12" s="16" t="str">
        <x:v>Android 16 / HyperOS 3.0.303.0.WNCCNXM.C09</x:v>
      </x:c>
      <x:c r="M12" s="16" t="str">
        <x:v>不执行</x:v>
      </x:c>
      <x:c r="N12" s="16" t="str">
        <x:v>NA</x:v>
      </x:c>
      <x:c r="O12" s="34" t="str"/>
      <x:c r="P12" s="36" t="str"/>
      <x:c r="Q12" s="37" t="str"/>
      <x:c r="R12" s="37" t="str"/>
      <x:c r="S12" s="37" t="str"/>
      <x:c r="T12" s="37" t="str"/>
      <x:c r="U12" s="37" t="str"/>
      <x:c r="V12" s="37" t="str"/>
      <x:c r="W12" s="37" t="str"/>
      <x:c r="X12" s="38" t="str"/>
      <x:c r="Y12" s="38" t="str"/>
      <x:c r="Z12" s="38" t="str"/>
      <x:c r="AA12" s="38" t="str"/>
      <x:c r="AB12" s="38" t="str"/>
      <x:c r="AC12" s="38" t="str"/>
      <x:c r="AD12" s="42" t="str"/>
      <x:c r="AE12" s="42" t="str"/>
      <x:c r="AF12" s="24" t="str">
        <x:f>IF(OR(AD12="",AE12=""),"待测",IF(AD12=AE12,"一致","不一致"))</x:f>
        <x:v>待测</x:v>
      </x:c>
      <x:c r="AG12" s="24" t="str"/>
      <x:c r="AH12" s="24" t="str">
        <x:f>IF(W12="","待测",IF(W12&lt;300,"达标","未达标"))</x:f>
        <x:v>待测</x:v>
      </x:c>
      <x:c r="AI12" s="24" t="str">
        <x:f>IF(AC12="","待测",IF(AC12&lt;300,"达标","未达标"))</x:f>
        <x:v>待测</x:v>
      </x:c>
      <x:c r="AJ12" s="28" t="str"/>
    </x:row>
    <x:row r="13" ht="34" customHeight="1">
      <x:c r="A13" s="16" t="str">
        <x:v>T1</x:v>
      </x:c>
      <x:c r="B13" s="16" t="str">
        <x:v>真实图片</x:v>
      </x:c>
      <x:c r="C13" s="26" t="str">
        <x:v>1.png.jpg</x:v>
      </x:c>
      <x:c r="D13" s="16" t="str">
        <x:v>1080×1440</x:v>
      </x:c>
      <x:c r="E13" s="30" t="str">
        <x:v>1555200</x:v>
      </x:c>
      <x:c r="F13" s="26" t="str">
        <x:v>d63bc747b6b1198413fe8fb861ab82cc5cf59498c420368d3b1b40296b7d5f87</x:v>
      </x:c>
      <x:c r="G13" s="26" t="str">
        <x:v>竖图高反差；桌面参考平均118.716；正常</x:v>
      </x:c>
      <x:c r="H13" s="32" t="str">
        <x:v>3.0</x:v>
      </x:c>
      <x:c r="I13" s="16" t="str">
        <x:v>2b56d94</x:v>
      </x:c>
      <x:c r="J13" s="16" t="str">
        <x:v>Debug</x:v>
      </x:c>
      <x:c r="K13" s="16" t="str">
        <x:v>Xiaomi 14</x:v>
      </x:c>
      <x:c r="L13" s="16" t="str">
        <x:v>Android 16 / HyperOS 3.0.303.0.WNCCNXM.C09</x:v>
      </x:c>
      <x:c r="M13" s="16" t="str">
        <x:v>Native 多线程 v3.0</x:v>
      </x:c>
      <x:c r="N13" s="16" t="str">
        <x:v>8</x:v>
      </x:c>
      <x:c r="O13" s="34" t="str"/>
      <x:c r="P13" s="36" t="str"/>
      <x:c r="Q13" s="37" t="str"/>
      <x:c r="R13" s="37" t="str"/>
      <x:c r="S13" s="37" t="str"/>
      <x:c r="T13" s="37" t="str"/>
      <x:c r="U13" s="37" t="str"/>
      <x:c r="V13" s="37" t="str"/>
      <x:c r="W13" s="37" t="str"/>
      <x:c r="X13" s="38" t="str"/>
      <x:c r="Y13" s="38" t="str"/>
      <x:c r="Z13" s="38" t="str"/>
      <x:c r="AA13" s="38" t="str"/>
      <x:c r="AB13" s="38" t="str"/>
      <x:c r="AC13" s="38" t="str"/>
      <x:c r="AD13" s="42" t="str"/>
      <x:c r="AE13" s="42" t="str"/>
      <x:c r="AF13" s="24" t="str">
        <x:f>IF(OR(AD13="",AE13=""),"待测",IF(AD13=AE13,"一致","不一致"))</x:f>
        <x:v>待测</x:v>
      </x:c>
      <x:c r="AG13" s="24" t="str"/>
      <x:c r="AH13" s="24" t="str">
        <x:f>IF(W13="","待测",IF(W13&lt;300,"达标","未达标"))</x:f>
        <x:v>待测</x:v>
      </x:c>
      <x:c r="AI13" s="24" t="str">
        <x:f>IF(AC13="","待测",IF(AC13&lt;300,"达标","未达标"))</x:f>
        <x:v>待测</x:v>
      </x:c>
      <x:c r="AJ13" s="28" t="str"/>
    </x:row>
    <x:row r="14" ht="34" customHeight="1">
      <x:c r="A14" s="16" t="str">
        <x:v>T2</x:v>
      </x:c>
      <x:c r="B14" s="16" t="str">
        <x:v>真实图片</x:v>
      </x:c>
      <x:c r="C14" s="26" t="str">
        <x:v>2.jpg</x:v>
      </x:c>
      <x:c r="D14" s="16" t="str">
        <x:v>1620×1080</x:v>
      </x:c>
      <x:c r="E14" s="30" t="str">
        <x:v>1749600</x:v>
      </x:c>
      <x:c r="F14" s="26" t="str">
        <x:v>2263029ea95d1f6457698a7c68afb86639e1df28592fcd7fad50bcaef36bd827</x:v>
      </x:c>
      <x:c r="G14" s="26" t="str">
        <x:v>横图噪点；桌面参考平均175.877；偏亮</x:v>
      </x:c>
      <x:c r="H14" s="32" t="str">
        <x:v>3.0</x:v>
      </x:c>
      <x:c r="I14" s="16" t="str">
        <x:v>2b56d94</x:v>
      </x:c>
      <x:c r="J14" s="16" t="str">
        <x:v>Debug</x:v>
      </x:c>
      <x:c r="K14" s="16" t="str">
        <x:v>Xiaomi 14</x:v>
      </x:c>
      <x:c r="L14" s="16" t="str">
        <x:v>Android 16 / HyperOS 3.0.303.0.WNCCNXM.C09</x:v>
      </x:c>
      <x:c r="M14" s="16" t="str">
        <x:v>Native 多线程 v3.0</x:v>
      </x:c>
      <x:c r="N14" s="16" t="str">
        <x:v>8</x:v>
      </x:c>
      <x:c r="O14" s="34" t="str"/>
      <x:c r="P14" s="36" t="str"/>
      <x:c r="Q14" s="37" t="str"/>
      <x:c r="R14" s="37" t="str"/>
      <x:c r="S14" s="37" t="str"/>
      <x:c r="T14" s="37" t="str"/>
      <x:c r="U14" s="37" t="str"/>
      <x:c r="V14" s="37" t="str"/>
      <x:c r="W14" s="37" t="str"/>
      <x:c r="X14" s="38" t="str"/>
      <x:c r="Y14" s="38" t="str"/>
      <x:c r="Z14" s="38" t="str"/>
      <x:c r="AA14" s="38" t="str"/>
      <x:c r="AB14" s="38" t="str"/>
      <x:c r="AC14" s="38" t="str"/>
      <x:c r="AD14" s="42" t="str"/>
      <x:c r="AE14" s="42" t="str"/>
      <x:c r="AF14" s="24" t="str">
        <x:f>IF(OR(AD14="",AE14=""),"待测",IF(AD14=AE14,"一致","不一致"))</x:f>
        <x:v>待测</x:v>
      </x:c>
      <x:c r="AG14" s="24" t="str"/>
      <x:c r="AH14" s="24" t="str">
        <x:f>IF(W14="","待测",IF(W14&lt;300,"达标","未达标"))</x:f>
        <x:v>待测</x:v>
      </x:c>
      <x:c r="AI14" s="24" t="str">
        <x:f>IF(AC14="","待测",IF(AC14&lt;300,"达标","未达标"))</x:f>
        <x:v>待测</x:v>
      </x:c>
      <x:c r="AJ14" s="28" t="str"/>
    </x:row>
    <x:row r="15" ht="34" customHeight="1">
      <x:c r="A15" s="16" t="str">
        <x:v>T3</x:v>
      </x:c>
      <x:c r="B15" s="16" t="str">
        <x:v>真实图片</x:v>
      </x:c>
      <x:c r="C15" s="26" t="str">
        <x:v>3.jpg</x:v>
      </x:c>
      <x:c r="D15" s="16" t="str">
        <x:v>1440×1080</x:v>
      </x:c>
      <x:c r="E15" s="30" t="str">
        <x:v>1555200</x:v>
      </x:c>
      <x:c r="F15" s="26" t="str">
        <x:v>4bf9334a9c60a6c5428c03bc4227a52dda07a3c60148e26c21e70b8d960e814b</x:v>
      </x:c>
      <x:c r="G15" s="26" t="str">
        <x:v>户外阴影；桌面参考平均141.346；正常</x:v>
      </x:c>
      <x:c r="H15" s="32" t="str">
        <x:v>3.0</x:v>
      </x:c>
      <x:c r="I15" s="16" t="str">
        <x:v>2b56d94</x:v>
      </x:c>
      <x:c r="J15" s="16" t="str">
        <x:v>Debug</x:v>
      </x:c>
      <x:c r="K15" s="16" t="str">
        <x:v>Xiaomi 14</x:v>
      </x:c>
      <x:c r="L15" s="16" t="str">
        <x:v>Android 16 / HyperOS 3.0.303.0.WNCCNXM.C09</x:v>
      </x:c>
      <x:c r="M15" s="16" t="str">
        <x:v>Native 多线程 v3.0</x:v>
      </x:c>
      <x:c r="N15" s="16" t="str">
        <x:v>8</x:v>
      </x:c>
      <x:c r="O15" s="34" t="str"/>
      <x:c r="P15" s="36" t="str"/>
      <x:c r="Q15" s="37" t="str"/>
      <x:c r="R15" s="37" t="str"/>
      <x:c r="S15" s="37" t="str"/>
      <x:c r="T15" s="37" t="str"/>
      <x:c r="U15" s="37" t="str"/>
      <x:c r="V15" s="37" t="str"/>
      <x:c r="W15" s="37" t="str"/>
      <x:c r="X15" s="38" t="str"/>
      <x:c r="Y15" s="38" t="str"/>
      <x:c r="Z15" s="38" t="str"/>
      <x:c r="AA15" s="38" t="str"/>
      <x:c r="AB15" s="38" t="str"/>
      <x:c r="AC15" s="38" t="str"/>
      <x:c r="AD15" s="42" t="str"/>
      <x:c r="AE15" s="42" t="str"/>
      <x:c r="AF15" s="24" t="str">
        <x:f>IF(OR(AD15="",AE15=""),"待测",IF(AD15=AE15,"一致","不一致"))</x:f>
        <x:v>待测</x:v>
      </x:c>
      <x:c r="AG15" s="24" t="str"/>
      <x:c r="AH15" s="24" t="str">
        <x:f>IF(W15="","待测",IF(W15&lt;300,"达标","未达标"))</x:f>
        <x:v>待测</x:v>
      </x:c>
      <x:c r="AI15" s="24" t="str">
        <x:f>IF(AC15="","待测",IF(AC15&lt;300,"达标","未达标"))</x:f>
        <x:v>待测</x:v>
      </x:c>
      <x:c r="AJ15" s="28" t="str"/>
    </x:row>
    <x:row r="16" ht="34" customHeight="1">
      <x:c r="A16" s="16" t="str">
        <x:v>T4</x:v>
      </x:c>
      <x:c r="B16" s="16" t="str">
        <x:v>真实图片</x:v>
      </x:c>
      <x:c r="C16" s="26" t="str">
        <x:v>4.png</x:v>
      </x:c>
      <x:c r="D16" s="16" t="str">
        <x:v>496×658</x:v>
      </x:c>
      <x:c r="E16" s="30" t="str">
        <x:v>326368</x:v>
      </x:c>
      <x:c r="F16" s="26" t="str">
        <x:v>3273d69b69b1921d8bfc5c5cb3e07bf8d4e166393438b2639434627c656840e7</x:v>
      </x:c>
      <x:c r="G16" s="26" t="str">
        <x:v>日间彩色；桌面参考平均140.601；正常</x:v>
      </x:c>
      <x:c r="H16" s="32" t="str">
        <x:v>3.0</x:v>
      </x:c>
      <x:c r="I16" s="16" t="str">
        <x:v>2b56d94</x:v>
      </x:c>
      <x:c r="J16" s="16" t="str">
        <x:v>Debug</x:v>
      </x:c>
      <x:c r="K16" s="16" t="str">
        <x:v>Xiaomi 14</x:v>
      </x:c>
      <x:c r="L16" s="16" t="str">
        <x:v>Android 16 / HyperOS 3.0.303.0.WNCCNXM.C09</x:v>
      </x:c>
      <x:c r="M16" s="16" t="str">
        <x:v>Native 多线程 v3.0</x:v>
      </x:c>
      <x:c r="N16" s="16" t="str">
        <x:v>8</x:v>
      </x:c>
      <x:c r="O16" s="34" t="str"/>
      <x:c r="P16" s="36" t="str"/>
      <x:c r="Q16" s="37" t="str"/>
      <x:c r="R16" s="37" t="str"/>
      <x:c r="S16" s="37" t="str"/>
      <x:c r="T16" s="37" t="str"/>
      <x:c r="U16" s="37" t="str"/>
      <x:c r="V16" s="37" t="str"/>
      <x:c r="W16" s="37" t="str"/>
      <x:c r="X16" s="38" t="str"/>
      <x:c r="Y16" s="38" t="str"/>
      <x:c r="Z16" s="38" t="str"/>
      <x:c r="AA16" s="38" t="str"/>
      <x:c r="AB16" s="38" t="str"/>
      <x:c r="AC16" s="38" t="str"/>
      <x:c r="AD16" s="42" t="str"/>
      <x:c r="AE16" s="42" t="str"/>
      <x:c r="AF16" s="24" t="str">
        <x:f>IF(OR(AD16="",AE16=""),"待测",IF(AD16=AE16,"一致","不一致"))</x:f>
        <x:v>待测</x:v>
      </x:c>
      <x:c r="AG16" s="24" t="str"/>
      <x:c r="AH16" s="24" t="str">
        <x:f>IF(W16="","待测",IF(W16&lt;300,"达标","未达标"))</x:f>
        <x:v>待测</x:v>
      </x:c>
      <x:c r="AI16" s="24" t="str">
        <x:f>IF(AC16="","待测",IF(AC16&lt;300,"达标","未达标"))</x:f>
        <x:v>待测</x:v>
      </x:c>
      <x:c r="AJ16" s="28" t="str"/>
    </x:row>
    <x:row r="17" ht="34" customHeight="1">
      <x:c r="A17" s="16" t="str">
        <x:v>T5</x:v>
      </x:c>
      <x:c r="B17" s="16" t="str">
        <x:v>真实图片</x:v>
      </x:c>
      <x:c r="C17" s="26" t="str">
        <x:v>5.png</x:v>
      </x:c>
      <x:c r="D17" s="16" t="str">
        <x:v>492×660</x:v>
      </x:c>
      <x:c r="E17" s="30" t="str">
        <x:v>324720</x:v>
      </x:c>
      <x:c r="F17" s="26" t="str">
        <x:v>1573f8b465f4d105f460056cb5f9a70a174d06f67c635db8da5eea5487a509e6</x:v>
      </x:c>
      <x:c r="G17" s="26" t="str">
        <x:v>夜景；桌面参考平均66.320；偏暗</x:v>
      </x:c>
      <x:c r="H17" s="32" t="str">
        <x:v>3.0</x:v>
      </x:c>
      <x:c r="I17" s="16" t="str">
        <x:v>2b56d94</x:v>
      </x:c>
      <x:c r="J17" s="16" t="str">
        <x:v>Debug</x:v>
      </x:c>
      <x:c r="K17" s="16" t="str">
        <x:v>Xiaomi 14</x:v>
      </x:c>
      <x:c r="L17" s="16" t="str">
        <x:v>Android 16 / HyperOS 3.0.303.0.WNCCNXM.C09</x:v>
      </x:c>
      <x:c r="M17" s="16" t="str">
        <x:v>Native 多线程 v3.0</x:v>
      </x:c>
      <x:c r="N17" s="16" t="str">
        <x:v>8</x:v>
      </x:c>
      <x:c r="O17" s="34" t="str"/>
      <x:c r="P17" s="36" t="str"/>
      <x:c r="Q17" s="37" t="str"/>
      <x:c r="R17" s="37" t="str"/>
      <x:c r="S17" s="37" t="str"/>
      <x:c r="T17" s="37" t="str"/>
      <x:c r="U17" s="37" t="str"/>
      <x:c r="V17" s="37" t="str"/>
      <x:c r="W17" s="37" t="str"/>
      <x:c r="X17" s="38" t="str"/>
      <x:c r="Y17" s="38" t="str"/>
      <x:c r="Z17" s="38" t="str"/>
      <x:c r="AA17" s="38" t="str"/>
      <x:c r="AB17" s="38" t="str"/>
      <x:c r="AC17" s="38" t="str"/>
      <x:c r="AD17" s="42" t="str"/>
      <x:c r="AE17" s="42" t="str"/>
      <x:c r="AF17" s="24" t="str">
        <x:f>IF(OR(AD17="",AE17=""),"待测",IF(AD17=AE17,"一致","不一致"))</x:f>
        <x:v>待测</x:v>
      </x:c>
      <x:c r="AG17" s="24" t="str"/>
      <x:c r="AH17" s="24" t="str">
        <x:f>IF(W17="","待测",IF(W17&lt;300,"达标","未达标"))</x:f>
        <x:v>待测</x:v>
      </x:c>
      <x:c r="AI17" s="24" t="str">
        <x:f>IF(AC17="","待测",IF(AC17&lt;300,"达标","未达标"))</x:f>
        <x:v>待测</x:v>
      </x:c>
      <x:c r="AJ17" s="28" t="str"/>
    </x:row>
    <x:row r="18" ht="34" customHeight="1">
      <x:c r="A18" s="16" t="str">
        <x:v>W01</x:v>
      </x:c>
      <x:c r="B18" s="16" t="str">
        <x:v>格式兼容性</x:v>
      </x:c>
      <x:c r="C18" s="26" t="str">
        <x:v>google_webp_gallery_4.webp</x:v>
      </x:c>
      <x:c r="D18" s="16" t="str">
        <x:v>1024×772</x:v>
      </x:c>
      <x:c r="E18" s="30" t="str">
        <x:v>790528</x:v>
      </x:c>
      <x:c r="F18" s="26" t="str">
        <x:v>0858d0afcb2921ded36b05586204f2459d965feb7db54cb083e3cfa059589dd9</x:v>
      </x:c>
      <x:c r="G18" s="26" t="str">
        <x:v>Google WebP样例；桌面参考平均141.294；正常</x:v>
      </x:c>
      <x:c r="H18" s="32" t="str">
        <x:v>3.0</x:v>
      </x:c>
      <x:c r="I18" s="16" t="str">
        <x:v>2b56d94</x:v>
      </x:c>
      <x:c r="J18" s="16" t="str">
        <x:v>Debug</x:v>
      </x:c>
      <x:c r="K18" s="16" t="str">
        <x:v>Xiaomi 14</x:v>
      </x:c>
      <x:c r="L18" s="16" t="str">
        <x:v>Android 16 / HyperOS 3.0.303.0.WNCCNXM.C09</x:v>
      </x:c>
      <x:c r="M18" s="16" t="str">
        <x:v>Native 多线程 v3.0</x:v>
      </x:c>
      <x:c r="N18" s="16" t="str">
        <x:v>8</x:v>
      </x:c>
      <x:c r="O18" s="34" t="str"/>
      <x:c r="P18" s="36" t="str"/>
      <x:c r="Q18" s="37" t="str"/>
      <x:c r="R18" s="37" t="str"/>
      <x:c r="S18" s="37" t="str"/>
      <x:c r="T18" s="37" t="str"/>
      <x:c r="U18" s="37" t="str"/>
      <x:c r="V18" s="37" t="str"/>
      <x:c r="W18" s="37" t="str"/>
      <x:c r="X18" s="38" t="str"/>
      <x:c r="Y18" s="38" t="str"/>
      <x:c r="Z18" s="38" t="str"/>
      <x:c r="AA18" s="38" t="str"/>
      <x:c r="AB18" s="38" t="str"/>
      <x:c r="AC18" s="38" t="str"/>
      <x:c r="AD18" s="42" t="str"/>
      <x:c r="AE18" s="42" t="str"/>
      <x:c r="AF18" s="24" t="str">
        <x:f>IF(OR(AD18="",AE18=""),"待测",IF(AD18=AE18,"一致","不一致"))</x:f>
        <x:v>待测</x:v>
      </x:c>
      <x:c r="AG18" s="24" t="str"/>
      <x:c r="AH18" s="24" t="str">
        <x:f>IF(W18="","待测",IF(W18&lt;300,"达标","未达标"))</x:f>
        <x:v>待测</x:v>
      </x:c>
      <x:c r="AI18" s="24" t="str">
        <x:f>IF(AC18="","待测",IF(AC18&lt;300,"达标","未达标"))</x:f>
        <x:v>待测</x:v>
      </x:c>
      <x:c r="AJ18" s="28" t="str"/>
    </x:row>
  </x:sheetData>
  <x:conditionalFormatting sqref="AF2:AF18">
    <x:cfRule type="containsText" dxfId="0" priority="1" operator="containsText" text="达标"/>
    <x:cfRule type="containsText" dxfId="1" priority="2" operator="containsText" text="一致"/>
    <x:cfRule type="containsText" dxfId="2" priority="3" operator="containsText" text="未达标"/>
    <x:cfRule type="containsText" dxfId="3" priority="4" operator="containsText" text="不一致"/>
  </x:conditionalFormatting>
  <x:conditionalFormatting sqref="AH2:AI18">
    <x:cfRule type="containsText" dxfId="4" priority="5" operator="containsText" text="达标"/>
    <x:cfRule type="containsText" dxfId="5" priority="6" operator="containsText" text="一致"/>
    <x:cfRule type="containsText" dxfId="6" priority="7" operator="containsText" text="未达标"/>
    <x:cfRule type="containsText" dxfId="7" priority="8" operator="containsText" text="不一致"/>
  </x:conditionalFormatting>
  <x:dataValidations count="3">
    <x:dataValidation type="list" sqref="J2:J18">
      <x:formula1>"Debug,Release"</x:formula1>
    </x:dataValidation>
    <x:dataValidation type="whole" operator="between" sqref="O2:O18">
      <x:formula1>0</x:formula1>
      <x:formula2>100</x:formula2>
    </x:dataValidation>
    <x:dataValidation type="list" sqref="AG2:AG18">
      <x:formula1>"偏暗,偏亮,低对比度,正常,不适用"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508ac299a545b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50" t="str">
        <x:v>ImageHistogramAnalyzer 最终真机验收汇总</x:v>
      </x:c>
      <x:c r="B1" s="50"/>
      <x:c r="C1" s="50"/>
      <x:c r="D1" s="50"/>
      <x:c r="E1" s="50"/>
      <x:c r="F1" s="50"/>
    </x:row>
    <x:row r="2" ht="34" customHeight="1">
      <x:c r="A2" s="50"/>
      <x:c r="B2" s="50"/>
      <x:c r="C2" s="50"/>
      <x:c r="D2" s="50"/>
      <x:c r="E2" s="50"/>
      <x:c r="F2" s="50"/>
    </x:row>
    <x:row r="3" ht="26" customHeight="1"/>
    <x:row r="4" ht="26" customHeight="1">
      <x:c r="A4" s="58" t="str">
        <x:v>项目</x:v>
      </x:c>
      <x:c r="B4" s="58" t="str">
        <x:v>当前结果</x:v>
      </x:c>
    </x:row>
    <x:row r="5" ht="26" customHeight="1">
      <x:c r="A5" s="62" t="str">
        <x:v>测试图片 ID</x:v>
      </x:c>
      <x:c r="B5" s="66" t="n">
        <x:v>17</x:v>
      </x:c>
    </x:row>
    <x:row r="6" ht="26" customHeight="1">
      <x:c r="A6" s="62" t="str">
        <x:v>已填写结果行</x:v>
      </x:c>
      <x:c r="B6" s="66" t="n">
        <x:f>COUNT('全ID验收记录'!W2:W18)+COUNTIF('全ID验收记录'!AJ2:AJ18,"*拒绝*")</x:f>
        <x:v>0</x:v>
      </x:c>
    </x:row>
    <x:row r="7" ht="26" customHeight="1">
      <x:c r="A7" s="62" t="str">
        <x:v>两方案频次一致</x:v>
      </x:c>
      <x:c r="B7" s="66" t="n">
        <x:f>COUNTIF('全ID验收记录'!AF2:AF18,"一致")</x:f>
        <x:v>0</x:v>
      </x:c>
    </x:row>
    <x:row r="8" ht="26" customHeight="1">
      <x:c r="A8" s="62" t="str">
        <x:v>A 方案达标行</x:v>
      </x:c>
      <x:c r="B8" s="66" t="n">
        <x:f>COUNTIF('全ID验收记录'!AH2:AH18,"达标")</x:f>
        <x:v>0</x:v>
      </x:c>
    </x:row>
    <x:row r="9" ht="26" customHeight="1">
      <x:c r="A9" s="62" t="str">
        <x:v>B 方案达标行</x:v>
      </x:c>
      <x:c r="B9" s="66" t="n">
        <x:f>COUNTIF('全ID验收记录'!AI2:AI18,"达标")</x:f>
        <x:v>0</x:v>
      </x:c>
    </x:row>
    <x:row r="10" ht="26" customHeight="1">
      <x:c r="A10" s="62" t="str">
        <x:v>L1 总结</x:v>
      </x:c>
      <x:c r="B10" s="66" t="str">
        <x:f>IF(OR('全ID验收记录'!W10="",'全ID验收记录'!AC10=""),"待填写","A "&amp;TEXT('全ID验收记录'!W10,"0.000")&amp;" ms；B "&amp;TEXT('全ID验收记录'!AC10,"0.000")&amp;" ms")</x:f>
        <x:v>待填写</x:v>
      </x:c>
    </x:row>
    <x:row r="11" ht="26" customHeight="1"/>
    <x:row r="12" ht="26" customHeight="1">
      <x:c r="A12" s="72" t="str">
        <x:v>填写说明：每个 ID 只测一次；除 B02 外，同一行依次运行 A/B 两个方案。保留电量，不记录温度。</x:v>
      </x:c>
      <x:c r="B12" s="72"/>
      <x:c r="C12" s="72"/>
      <x:c r="D12" s="72"/>
      <x:c r="E12" s="72"/>
      <x:c r="F12" s="72"/>
    </x:row>
    <x:row r="13" ht="26" customHeight="1"/>
    <x:row r="14" ht="26" customHeight="1">
      <x:c r="A14" s="78" t="str">
        <x:v>必须补填</x:v>
      </x:c>
      <x:c r="B14" s="78" t="str">
        <x:v>电量</x:v>
      </x:c>
      <x:c r="C14" s="78" t="str">
        <x:v>解码</x:v>
      </x:c>
      <x:c r="D14" s="78" t="str">
        <x:v>A/B 分段</x:v>
      </x:c>
      <x:c r="E14" s="78" t="str">
        <x:v>A/B 最高频次</x:v>
      </x:c>
      <x:c r="F14" s="78" t="str">
        <x:v>实际结果/备注</x:v>
      </x:c>
    </x:row>
    <x:row r="15" ht="26" customHeight="1">
      <x:c r="A15" s="74" t="str">
        <x:v>L1 核心</x:v>
      </x:c>
      <x:c r="B15" s="74" t="str">
        <x:v>A &lt; 300ms</x:v>
      </x:c>
      <x:c r="C15" s="74" t="str">
        <x:v>B &lt; 300ms</x:v>
      </x:c>
      <x:c r="D15" s="74" t="str">
        <x:v>频次预期 75,787</x:v>
      </x:c>
      <x:c r="E15" s="74" t="str">
        <x:v>质量预期正常</x:v>
      </x:c>
      <x:c r="F15" s="74" t="str">
        <x:v>保留截图</x:v>
      </x:c>
    </x:row>
    <x:row r="16" ht="26" customHeight="1">
      <x:c r="A16" s="74" t="str">
        <x:v>B01</x:v>
      </x:c>
      <x:c r="B16" s="74" t="str">
        <x:v>应允许</x:v>
      </x:c>
      <x:c r="C16" s="74" t="str">
        <x:v>16,000,000 像素</x:v>
      </x:c>
      <x:c r="D16" s="74" t="str">
        <x:v>两方案运行</x:v>
      </x:c>
      <x:c r="E16" s="74" t="str">
        <x:v>质量低对比度</x:v>
      </x:c>
      <x:c r="F16" s="74" t="str">
        <x:v>保留截图</x:v>
      </x:c>
    </x:row>
    <x:row r="17" ht="26" customHeight="1">
      <x:c r="A17" s="74" t="str">
        <x:v>B02</x:v>
      </x:c>
      <x:c r="B17" s="74" t="str">
        <x:v>应拒绝</x:v>
      </x:c>
      <x:c r="C17" s="74" t="str">
        <x:v>16,004,000 像素</x:v>
      </x:c>
      <x:c r="D17" s="74" t="str">
        <x:v>不运行算法</x:v>
      </x:c>
      <x:c r="E17" s="74" t="str">
        <x:v>耗时留空</x:v>
      </x:c>
      <x:c r="F17" s="74" t="str">
        <x:v>记录错误文案</x:v>
      </x:c>
    </x:row>
    <x:row r="18" ht="26" customHeight="1">
      <x:c r="A18" s="74" t="str">
        <x:v>W01</x:v>
      </x:c>
      <x:c r="B18" s="74" t="str">
        <x:v>WebP</x:v>
      </x:c>
      <x:c r="C18" s="74" t="str">
        <x:v>1024×772</x:v>
      </x:c>
      <x:c r="D18" s="74" t="str">
        <x:v>两方案运行</x:v>
      </x:c>
      <x:c r="E18" s="74" t="str">
        <x:v>质量预期正常</x:v>
      </x:c>
      <x:c r="F18" s="74" t="str">
        <x:v>保留截图</x:v>
      </x:c>
    </x:row>
  </x:sheetData>
  <x:mergeCells>
    <x:mergeCell ref="A1:F2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5" hidden="0" customWidth="1"/>
    <x:col min="3" max="3" width="32" hidden="0" customWidth="1"/>
    <x:col min="4" max="4" width="15" hidden="0" customWidth="1"/>
    <x:col min="5" max="5" width="15" hidden="0" customWidth="1"/>
    <x:col min="6" max="6" width="28" hidden="0" customWidth="1"/>
    <x:col min="7" max="7" width="48" hidden="0" customWidth="1"/>
  </x:cols>
  <x:sheetData>
    <x:row r="1">
      <x:c r="A1" s="84" t="str">
        <x:v>图片ID</x:v>
      </x:c>
      <x:c r="B1" s="84" t="str">
        <x:v>类别</x:v>
      </x:c>
      <x:c r="C1" s="84" t="str">
        <x:v>文件名</x:v>
      </x:c>
      <x:c r="D1" s="84" t="str">
        <x:v>分辨率</x:v>
      </x:c>
      <x:c r="E1" s="84" t="str">
        <x:v>像素数</x:v>
      </x:c>
      <x:c r="F1" s="84" t="str">
        <x:v>SHA-256</x:v>
      </x:c>
      <x:c r="G1" s="84" t="str">
        <x:v>预期结果或用途</x:v>
      </x:c>
    </x:row>
    <x:row r="2" ht="36" customHeight="1">
      <x:c r="A2" s="60" t="str">
        <x:v>S01</x:v>
      </x:c>
      <x:c r="B2" s="60" t="str">
        <x:v>合成正确性</x:v>
      </x:c>
      <x:c r="C2" s="60" t="str">
        <x:v>01_black_256.png</x:v>
      </x:c>
      <x:c r="D2" s="60" t="str">
        <x:v>256×256</x:v>
      </x:c>
      <x:c r="E2" s="86" t="str">
        <x:v>65536</x:v>
      </x:c>
      <x:c r="F2" s="88" t="str">
        <x:v>83efca097265b674fa6af57c9e6e9f667cb32a19f1da46f794995e88837713ec</x:v>
      </x:c>
      <x:c r="G2" s="88" t="str">
        <x:v>bin 0=65536；偏暗</x:v>
      </x:c>
    </x:row>
    <x:row r="3" ht="36" customHeight="1">
      <x:c r="A3" s="60" t="str">
        <x:v>S02</x:v>
      </x:c>
      <x:c r="B3" s="60" t="str">
        <x:v>合成正确性</x:v>
      </x:c>
      <x:c r="C3" s="60" t="str">
        <x:v>02_white_256.png</x:v>
      </x:c>
      <x:c r="D3" s="60" t="str">
        <x:v>256×256</x:v>
      </x:c>
      <x:c r="E3" s="86" t="str">
        <x:v>65536</x:v>
      </x:c>
      <x:c r="F3" s="88" t="str">
        <x:v>3408dfdcac0e2a40c24326dd59bfda33af912429b8a98482038dcdd6e036ed8a</x:v>
      </x:c>
      <x:c r="G3" s="88" t="str">
        <x:v>bin 255=65536；偏亮</x:v>
      </x:c>
    </x:row>
    <x:row r="4" ht="36" customHeight="1">
      <x:c r="A4" s="60" t="str">
        <x:v>S03</x:v>
      </x:c>
      <x:c r="B4" s="60" t="str">
        <x:v>合成正确性</x:v>
      </x:c>
      <x:c r="C4" s="60" t="str">
        <x:v>03_dark_gray80_256.png</x:v>
      </x:c>
      <x:c r="D4" s="60" t="str">
        <x:v>256×256</x:v>
      </x:c>
      <x:c r="E4" s="86" t="str">
        <x:v>65536</x:v>
      </x:c>
      <x:c r="F4" s="88" t="str">
        <x:v>68bd27a8df7ff3fcf3d1934d218147cfba9d4d0297dcda621283d3bf1ec2c867</x:v>
      </x:c>
      <x:c r="G4" s="88" t="str">
        <x:v>bin 80=65536；偏暗</x:v>
      </x:c>
    </x:row>
    <x:row r="5" ht="36" customHeight="1">
      <x:c r="A5" s="60" t="str">
        <x:v>S04</x:v>
      </x:c>
      <x:c r="B5" s="60" t="str">
        <x:v>合成正确性</x:v>
      </x:c>
      <x:c r="C5" s="60" t="str">
        <x:v>04_bright_gray180_256.png</x:v>
      </x:c>
      <x:c r="D5" s="60" t="str">
        <x:v>256×256</x:v>
      </x:c>
      <x:c r="E5" s="86" t="str">
        <x:v>65536</x:v>
      </x:c>
      <x:c r="F5" s="88" t="str">
        <x:v>a95b9aeda4b5e7b2901139c38f0a31d13ef45eec0a90c79697db59aea20371d4</x:v>
      </x:c>
      <x:c r="G5" s="88" t="str">
        <x:v>bin 180=65536；偏亮</x:v>
      </x:c>
    </x:row>
    <x:row r="6" ht="36" customHeight="1">
      <x:c r="A6" s="60" t="str">
        <x:v>S05</x:v>
      </x:c>
      <x:c r="B6" s="60" t="str">
        <x:v>合成正确性</x:v>
      </x:c>
      <x:c r="C6" s="60" t="str">
        <x:v>05_low_contrast_112_144.png</x:v>
      </x:c>
      <x:c r="D6" s="60" t="str">
        <x:v>256×256</x:v>
      </x:c>
      <x:c r="E6" s="86" t="str">
        <x:v>65536</x:v>
      </x:c>
      <x:c r="F6" s="88" t="str">
        <x:v>3c2f0eab485039e38232e1743d6d43c9936ea48453dff7fb4d5794b0ce3bd0ca</x:v>
      </x:c>
      <x:c r="G6" s="88" t="str">
        <x:v>最高频次2048；平均127.609；标准差9.397；低对比度</x:v>
      </x:c>
    </x:row>
    <x:row r="7" ht="36" customHeight="1">
      <x:c r="A7" s="60" t="str">
        <x:v>S06</x:v>
      </x:c>
      <x:c r="B7" s="60" t="str">
        <x:v>合成正确性</x:v>
      </x:c>
      <x:c r="C7" s="60" t="str">
        <x:v>06_normal_contrast_64_192.png</x:v>
      </x:c>
      <x:c r="D7" s="60" t="str">
        <x:v>256×256</x:v>
      </x:c>
      <x:c r="E7" s="86" t="str">
        <x:v>65536</x:v>
      </x:c>
      <x:c r="F7" s="88" t="str">
        <x:v>60dadf379ec7e67cc06e2ef7c8d271ec413371063fb407c0a395954a55fa84f2</x:v>
      </x:c>
      <x:c r="G7" s="88" t="str">
        <x:v>bin 64/192各32768；正常</x:v>
      </x:c>
    </x:row>
    <x:row r="8" ht="36" customHeight="1">
      <x:c r="A8" s="60" t="str">
        <x:v>S07</x:v>
      </x:c>
      <x:c r="B8" s="60" t="str">
        <x:v>公式正确性</x:v>
      </x:c>
      <x:c r="C8" s="60" t="str">
        <x:v>07_rgb_primary_300x100.png</x:v>
      </x:c>
      <x:c r="D8" s="60" t="str">
        <x:v>300×100</x:v>
      </x:c>
      <x:c r="E8" s="86" t="str">
        <x:v>30000</x:v>
      </x:c>
      <x:c r="F8" s="88" t="str">
        <x:v>46ba4308a1c26e6da200b78513938c844da9c66a5a4eb736b51780b29276a726</x:v>
      </x:c>
      <x:c r="G8" s="88" t="str">
        <x:v>R/G/B落入bin 76/150/29且各10000；正常</x:v>
      </x:c>
    </x:row>
    <x:row r="9" ht="36" customHeight="1">
      <x:c r="A9" s="60" t="str">
        <x:v>S08</x:v>
      </x:c>
      <x:c r="B9" s="60" t="str">
        <x:v>透明兼容性</x:v>
      </x:c>
      <x:c r="C9" s="60" t="str">
        <x:v>08_alpha_red_checker_256.png</x:v>
      </x:c>
      <x:c r="D9" s="60" t="str">
        <x:v>256×256</x:v>
      </x:c>
      <x:c r="E9" s="86" t="str">
        <x:v>65536</x:v>
      </x:c>
      <x:c r="F9" s="88" t="str">
        <x:v>0eb44ca3e7e01965f1dbb24f41ec6054fbe70cf493c62afc869c9294dcc26e9a</x:v>
      </x:c>
      <x:c r="G9" s="88" t="str">
        <x:v>半透明与不透明红色；两方案一致</x:v>
      </x:c>
    </x:row>
    <x:row r="10" ht="36" customHeight="1">
      <x:c r="A10" s="60" t="str">
        <x:v>L1</x:v>
      </x:c>
      <x:c r="B10" s="60" t="str">
        <x:v>正式性能</x:v>
      </x:c>
      <x:c r="C10" s="60" t="str">
        <x:v>09_performance_gradient_3072x4096.png</x:v>
      </x:c>
      <x:c r="D10" s="60" t="str">
        <x:v>3072×4096</x:v>
      </x:c>
      <x:c r="E10" s="86" t="str">
        <x:v>12582912</x:v>
      </x:c>
      <x:c r="F10" s="88" t="str">
        <x:v>783198e25198cb7fabb18db9f690224bb4402fcb27737f46c81c1b11a2f5daec</x:v>
      </x:c>
      <x:c r="G10" s="88" t="str">
        <x:v>最高频次75787；平均127.001；正常；两方案核心均低于300ms</x:v>
      </x:c>
    </x:row>
    <x:row r="11" ht="36" customHeight="1">
      <x:c r="A11" s="60" t="str">
        <x:v>B01</x:v>
      </x:c>
      <x:c r="B11" s="60" t="str">
        <x:v>像素上限</x:v>
      </x:c>
      <x:c r="C11" s="60" t="str">
        <x:v>10_max_valid_4000x4000.png</x:v>
      </x:c>
      <x:c r="D11" s="60" t="str">
        <x:v>4000×4000</x:v>
      </x:c>
      <x:c r="E11" s="86" t="str">
        <x:v>16000000</x:v>
      </x:c>
      <x:c r="F11" s="88" t="str">
        <x:v>0f4292ef933523ac3e6d685e32f1b8916be3b0f256c2ee7c5914220b061b07fb</x:v>
      </x:c>
      <x:c r="G11" s="88" t="str">
        <x:v>恰好1600万像素；应允许；最高频次16000000；低对比度</x:v>
      </x:c>
    </x:row>
    <x:row r="12" ht="36" customHeight="1">
      <x:c r="A12" s="60" t="str">
        <x:v>B02</x:v>
      </x:c>
      <x:c r="B12" s="60" t="str">
        <x:v>超限错误</x:v>
      </x:c>
      <x:c r="C12" s="60" t="str">
        <x:v>11_over_limit_4001x4000.png</x:v>
      </x:c>
      <x:c r="D12" s="60" t="str">
        <x:v>4001×4000</x:v>
      </x:c>
      <x:c r="E12" s="86" t="str">
        <x:v>16004000</x:v>
      </x:c>
      <x:c r="F12" s="88" t="str">
        <x:v>13d1b4960b81e32c9ac7b356d3fe86bae33906fbdc22e92f0fcfd10c565e6b26</x:v>
      </x:c>
      <x:c r="G12" s="88" t="str">
        <x:v>超过1600万像素；应在计算前拒绝</x:v>
      </x:c>
    </x:row>
    <x:row r="13" ht="36" customHeight="1">
      <x:c r="A13" s="60" t="str">
        <x:v>T1</x:v>
      </x:c>
      <x:c r="B13" s="60" t="str">
        <x:v>真实图片</x:v>
      </x:c>
      <x:c r="C13" s="60" t="str">
        <x:v>1.png.jpg</x:v>
      </x:c>
      <x:c r="D13" s="60" t="str">
        <x:v>1080×1440</x:v>
      </x:c>
      <x:c r="E13" s="86" t="str">
        <x:v>1555200</x:v>
      </x:c>
      <x:c r="F13" s="88" t="str">
        <x:v>d63bc747b6b1198413fe8fb861ab82cc5cf59498c420368d3b1b40296b7d5f87</x:v>
      </x:c>
      <x:c r="G13" s="88" t="str">
        <x:v>竖图高反差；桌面参考平均118.716；正常</x:v>
      </x:c>
    </x:row>
    <x:row r="14" ht="36" customHeight="1">
      <x:c r="A14" s="60" t="str">
        <x:v>T2</x:v>
      </x:c>
      <x:c r="B14" s="60" t="str">
        <x:v>真实图片</x:v>
      </x:c>
      <x:c r="C14" s="60" t="str">
        <x:v>2.jpg</x:v>
      </x:c>
      <x:c r="D14" s="60" t="str">
        <x:v>1620×1080</x:v>
      </x:c>
      <x:c r="E14" s="86" t="str">
        <x:v>1749600</x:v>
      </x:c>
      <x:c r="F14" s="88" t="str">
        <x:v>2263029ea95d1f6457698a7c68afb86639e1df28592fcd7fad50bcaef36bd827</x:v>
      </x:c>
      <x:c r="G14" s="88" t="str">
        <x:v>横图噪点；桌面参考平均175.877；偏亮</x:v>
      </x:c>
    </x:row>
    <x:row r="15" ht="36" customHeight="1">
      <x:c r="A15" s="60" t="str">
        <x:v>T3</x:v>
      </x:c>
      <x:c r="B15" s="60" t="str">
        <x:v>真实图片</x:v>
      </x:c>
      <x:c r="C15" s="60" t="str">
        <x:v>3.jpg</x:v>
      </x:c>
      <x:c r="D15" s="60" t="str">
        <x:v>1440×1080</x:v>
      </x:c>
      <x:c r="E15" s="86" t="str">
        <x:v>1555200</x:v>
      </x:c>
      <x:c r="F15" s="88" t="str">
        <x:v>4bf9334a9c60a6c5428c03bc4227a52dda07a3c60148e26c21e70b8d960e814b</x:v>
      </x:c>
      <x:c r="G15" s="88" t="str">
        <x:v>户外阴影；桌面参考平均141.346；正常</x:v>
      </x:c>
    </x:row>
    <x:row r="16" ht="36" customHeight="1">
      <x:c r="A16" s="60" t="str">
        <x:v>T4</x:v>
      </x:c>
      <x:c r="B16" s="60" t="str">
        <x:v>真实图片</x:v>
      </x:c>
      <x:c r="C16" s="60" t="str">
        <x:v>4.png</x:v>
      </x:c>
      <x:c r="D16" s="60" t="str">
        <x:v>496×658</x:v>
      </x:c>
      <x:c r="E16" s="86" t="str">
        <x:v>326368</x:v>
      </x:c>
      <x:c r="F16" s="88" t="str">
        <x:v>3273d69b69b1921d8bfc5c5cb3e07bf8d4e166393438b2639434627c656840e7</x:v>
      </x:c>
      <x:c r="G16" s="88" t="str">
        <x:v>日间彩色；桌面参考平均140.601；正常</x:v>
      </x:c>
    </x:row>
    <x:row r="17" ht="36" customHeight="1">
      <x:c r="A17" s="60" t="str">
        <x:v>T5</x:v>
      </x:c>
      <x:c r="B17" s="60" t="str">
        <x:v>真实图片</x:v>
      </x:c>
      <x:c r="C17" s="60" t="str">
        <x:v>5.png</x:v>
      </x:c>
      <x:c r="D17" s="60" t="str">
        <x:v>492×660</x:v>
      </x:c>
      <x:c r="E17" s="86" t="str">
        <x:v>324720</x:v>
      </x:c>
      <x:c r="F17" s="88" t="str">
        <x:v>1573f8b465f4d105f460056cb5f9a70a174d06f67c635db8da5eea5487a509e6</x:v>
      </x:c>
      <x:c r="G17" s="88" t="str">
        <x:v>夜景；桌面参考平均66.320；偏暗</x:v>
      </x:c>
    </x:row>
    <x:row r="18" ht="36" customHeight="1">
      <x:c r="A18" s="60" t="str">
        <x:v>W01</x:v>
      </x:c>
      <x:c r="B18" s="60" t="str">
        <x:v>格式兼容性</x:v>
      </x:c>
      <x:c r="C18" s="60" t="str">
        <x:v>google_webp_gallery_4.webp</x:v>
      </x:c>
      <x:c r="D18" s="60" t="str">
        <x:v>1024×772</x:v>
      </x:c>
      <x:c r="E18" s="86" t="str">
        <x:v>790528</x:v>
      </x:c>
      <x:c r="F18" s="88" t="str">
        <x:v>0858d0afcb2921ded36b05586204f2459d965feb7db54cb083e3cfa059589dd9</x:v>
      </x:c>
      <x:c r="G18" s="88" t="str">
        <x:v>Google WebP样例；桌面参考平均141.294；正常</x:v>
      </x:c>
    </x:row>
  </x:sheetData>
  <x:pageMargins left="0.7" right="0.7" top="0.75" bottom="0.75" header="0.3" footer="0.3"/>
</x:worksheet>
</file>